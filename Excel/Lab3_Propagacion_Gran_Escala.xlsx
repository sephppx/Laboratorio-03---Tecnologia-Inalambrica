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Fpola\Downloads\"/>
    </mc:Choice>
  </mc:AlternateContent>
  <xr:revisionPtr revIDLastSave="0" documentId="13_ncr:1_{0118418B-069A-4C92-B2E4-657BB269AC45}" xr6:coauthVersionLast="47" xr6:coauthVersionMax="47" xr10:uidLastSave="{00000000-0000-0000-0000-000000000000}"/>
  <bookViews>
    <workbookView xWindow="28680" yWindow="-1620" windowWidth="29040" windowHeight="15720" tabRatio="500" activeTab="2" xr2:uid="{00000000-000D-0000-FFFF-FFFF00000000}"/>
  </bookViews>
  <sheets>
    <sheet name="Parámetros" sheetId="1" r:id="rId1"/>
    <sheet name="Datos" sheetId="2" r:id="rId2"/>
    <sheet name="Resultados" sheetId="3" r:id="rId3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5" i="2" l="1"/>
  <c r="D46" i="2"/>
  <c r="E46" i="2"/>
  <c r="B9" i="3"/>
  <c r="E45" i="2"/>
  <c r="D45" i="2"/>
  <c r="E44" i="2"/>
  <c r="D44" i="2"/>
  <c r="E43" i="2"/>
  <c r="D43" i="2"/>
  <c r="E42" i="2"/>
  <c r="D42" i="2"/>
  <c r="E41" i="2"/>
  <c r="D41" i="2"/>
  <c r="E40" i="2"/>
  <c r="D40" i="2"/>
  <c r="E39" i="2"/>
  <c r="D39" i="2"/>
  <c r="E38" i="2"/>
  <c r="D38" i="2"/>
  <c r="E37" i="2"/>
  <c r="D37" i="2"/>
  <c r="E36" i="2"/>
  <c r="D36" i="2"/>
  <c r="E35" i="2"/>
  <c r="D35" i="2"/>
  <c r="E34" i="2"/>
  <c r="D34" i="2"/>
  <c r="E33" i="2"/>
  <c r="D33" i="2"/>
  <c r="E32" i="2"/>
  <c r="D32" i="2"/>
  <c r="E31" i="2"/>
  <c r="D31" i="2"/>
  <c r="E30" i="2"/>
  <c r="D30" i="2"/>
  <c r="E29" i="2"/>
  <c r="D29" i="2"/>
  <c r="E28" i="2"/>
  <c r="D28" i="2"/>
  <c r="E27" i="2"/>
  <c r="D27" i="2"/>
  <c r="E26" i="2"/>
  <c r="D26" i="2"/>
  <c r="E25" i="2"/>
  <c r="D25" i="2"/>
  <c r="E24" i="2"/>
  <c r="D24" i="2"/>
  <c r="E23" i="2"/>
  <c r="D23" i="2"/>
  <c r="E22" i="2"/>
  <c r="D22" i="2"/>
  <c r="E21" i="2"/>
  <c r="D21" i="2"/>
  <c r="E20" i="2"/>
  <c r="D20" i="2"/>
  <c r="E19" i="2"/>
  <c r="D19" i="2"/>
  <c r="E18" i="2"/>
  <c r="D18" i="2"/>
  <c r="E17" i="2"/>
  <c r="D17" i="2"/>
  <c r="E16" i="2"/>
  <c r="D16" i="2"/>
  <c r="E15" i="2"/>
  <c r="D15" i="2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B7" i="1"/>
  <c r="B7" i="3" l="1"/>
  <c r="B5" i="3"/>
  <c r="B8" i="3"/>
  <c r="B6" i="3"/>
  <c r="I46" i="2"/>
  <c r="I40" i="2"/>
  <c r="I39" i="2"/>
  <c r="I23" i="2"/>
  <c r="I18" i="2"/>
  <c r="I29" i="2"/>
  <c r="I21" i="2"/>
  <c r="I30" i="2"/>
  <c r="I26" i="2"/>
  <c r="I20" i="2"/>
  <c r="I33" i="2"/>
  <c r="I45" i="2"/>
  <c r="I17" i="2"/>
  <c r="I28" i="2"/>
  <c r="I22" i="2"/>
  <c r="B15" i="1"/>
  <c r="B13" i="3" s="1"/>
  <c r="I16" i="2"/>
  <c r="I15" i="2"/>
  <c r="I31" i="2"/>
  <c r="I14" i="2"/>
  <c r="I32" i="2"/>
  <c r="I44" i="2"/>
  <c r="I13" i="2"/>
  <c r="I34" i="2"/>
  <c r="I35" i="2"/>
  <c r="I12" i="2"/>
  <c r="I11" i="2"/>
  <c r="I43" i="2"/>
  <c r="I36" i="2"/>
  <c r="I10" i="2"/>
  <c r="I42" i="2"/>
  <c r="I41" i="2"/>
  <c r="I9" i="2"/>
  <c r="B11" i="3"/>
  <c r="I19" i="2"/>
  <c r="I8" i="2"/>
  <c r="I38" i="2"/>
  <c r="I25" i="2"/>
  <c r="I7" i="2"/>
  <c r="I37" i="2"/>
  <c r="I24" i="2"/>
  <c r="I6" i="2"/>
  <c r="I5" i="2"/>
  <c r="I27" i="2"/>
  <c r="B12" i="3" l="1"/>
  <c r="F12" i="2"/>
  <c r="F40" i="2"/>
  <c r="F31" i="2"/>
  <c r="F8" i="2"/>
  <c r="F39" i="2"/>
  <c r="F7" i="2"/>
  <c r="F18" i="2"/>
  <c r="F6" i="2"/>
  <c r="F29" i="2"/>
  <c r="F28" i="2"/>
  <c r="F27" i="2"/>
  <c r="F36" i="2"/>
  <c r="F5" i="2"/>
  <c r="F35" i="2"/>
  <c r="F25" i="2"/>
  <c r="F37" i="2"/>
  <c r="F17" i="2"/>
  <c r="F26" i="2"/>
  <c r="F34" i="2"/>
  <c r="F24" i="2"/>
  <c r="B10" i="3"/>
  <c r="F23" i="2"/>
  <c r="F32" i="2"/>
  <c r="F44" i="2"/>
  <c r="F21" i="2"/>
  <c r="F43" i="2"/>
  <c r="F19" i="2"/>
  <c r="F11" i="2"/>
  <c r="F42" i="2"/>
  <c r="F41" i="2"/>
  <c r="F38" i="2"/>
  <c r="F30" i="2"/>
  <c r="F13" i="2"/>
  <c r="F45" i="2"/>
  <c r="F33" i="2"/>
  <c r="F22" i="2"/>
  <c r="F20" i="2"/>
  <c r="F15" i="2"/>
  <c r="F46" i="2"/>
  <c r="F14" i="2"/>
  <c r="F16" i="2"/>
  <c r="F10" i="2"/>
  <c r="F9" i="2"/>
  <c r="G10" i="2"/>
  <c r="H10" i="2"/>
  <c r="G9" i="2"/>
  <c r="H9" i="2"/>
  <c r="H16" i="2" l="1"/>
  <c r="G16" i="2"/>
  <c r="H46" i="2"/>
  <c r="G46" i="2"/>
  <c r="H12" i="2"/>
  <c r="G12" i="2"/>
  <c r="H40" i="2"/>
  <c r="G40" i="2"/>
  <c r="H31" i="2"/>
  <c r="G31" i="2"/>
  <c r="H8" i="2"/>
  <c r="G8" i="2"/>
  <c r="H39" i="2"/>
  <c r="G39" i="2"/>
  <c r="H7" i="2"/>
  <c r="G7" i="2"/>
  <c r="H18" i="2"/>
  <c r="G18" i="2"/>
  <c r="H6" i="2"/>
  <c r="G6" i="2"/>
  <c r="H29" i="2"/>
  <c r="G29" i="2"/>
  <c r="H28" i="2"/>
  <c r="G28" i="2"/>
  <c r="H27" i="2"/>
  <c r="G27" i="2"/>
  <c r="H36" i="2"/>
  <c r="G36" i="2"/>
  <c r="G5" i="2"/>
  <c r="H5" i="2"/>
  <c r="G35" i="2"/>
  <c r="H35" i="2"/>
  <c r="G25" i="2"/>
  <c r="H25" i="2"/>
  <c r="H37" i="2"/>
  <c r="G37" i="2"/>
  <c r="H17" i="2"/>
  <c r="G17" i="2"/>
  <c r="H26" i="2"/>
  <c r="G26" i="2"/>
  <c r="G34" i="2"/>
  <c r="H34" i="2"/>
  <c r="H24" i="2"/>
  <c r="G24" i="2"/>
  <c r="G23" i="2"/>
  <c r="H23" i="2"/>
  <c r="G32" i="2"/>
  <c r="H32" i="2"/>
  <c r="G44" i="2"/>
  <c r="H44" i="2"/>
  <c r="G21" i="2"/>
  <c r="H21" i="2"/>
  <c r="G43" i="2"/>
  <c r="H43" i="2"/>
  <c r="G19" i="2"/>
  <c r="H19" i="2"/>
  <c r="G11" i="2"/>
  <c r="H11" i="2"/>
  <c r="H42" i="2"/>
  <c r="G42" i="2"/>
  <c r="G41" i="2"/>
  <c r="H41" i="2"/>
  <c r="H38" i="2"/>
  <c r="G38" i="2"/>
  <c r="H30" i="2"/>
  <c r="G30" i="2"/>
  <c r="H13" i="2"/>
  <c r="G13" i="2"/>
  <c r="G45" i="2"/>
  <c r="H45" i="2"/>
  <c r="H33" i="2"/>
  <c r="G33" i="2"/>
  <c r="G22" i="2"/>
  <c r="H22" i="2"/>
  <c r="H20" i="2"/>
  <c r="G20" i="2"/>
  <c r="G15" i="2"/>
  <c r="H15" i="2"/>
  <c r="H14" i="2"/>
  <c r="G14" i="2"/>
</calcChain>
</file>

<file path=xl/sharedStrings.xml><?xml version="1.0" encoding="utf-8"?>
<sst xmlns="http://schemas.openxmlformats.org/spreadsheetml/2006/main" count="77" uniqueCount="68">
  <si>
    <t>Lab 03 – Efectos de propagación a gran escala (2.6 GHz)</t>
  </si>
  <si>
    <t>Parámetro</t>
  </si>
  <si>
    <t>Valor</t>
  </si>
  <si>
    <t>Unidad</t>
  </si>
  <si>
    <t>Escenario medido</t>
  </si>
  <si>
    <t>Frecuencia</t>
  </si>
  <si>
    <t>MHz</t>
  </si>
  <si>
    <t>Velocidad de la luz</t>
  </si>
  <si>
    <t>m/s</t>
  </si>
  <si>
    <t>Longitud de onda λ</t>
  </si>
  <si>
    <t>m</t>
  </si>
  <si>
    <t>Altura del transmisor</t>
  </si>
  <si>
    <t>Altura del receptor</t>
  </si>
  <si>
    <t>Potencia de salida Pt</t>
  </si>
  <si>
    <t>dBm</t>
  </si>
  <si>
    <t>Ganancia antena Tx Gt</t>
  </si>
  <si>
    <t>dBi</t>
  </si>
  <si>
    <t>Ganancia antena Rx Gr</t>
  </si>
  <si>
    <t>Distancia de referencia d0</t>
  </si>
  <si>
    <t>Dimensión máxima de la antena D</t>
  </si>
  <si>
    <t>Distancia de campo lejano (Fraunhofer)</t>
  </si>
  <si>
    <t>Mediciones de campo y ajuste log-distance</t>
  </si>
  <si>
    <t>N°</t>
  </si>
  <si>
    <t>Distancia d (m)</t>
  </si>
  <si>
    <t>Pr medida (dBm)</t>
  </si>
  <si>
    <t>PL medida (dB)</t>
  </si>
  <si>
    <t>10·log10(d/d0)</t>
  </si>
  <si>
    <t>PL ajustada (dB)</t>
  </si>
  <si>
    <t>Residuo (dB)</t>
  </si>
  <si>
    <t>Pr ajustada (dBm)</t>
  </si>
  <si>
    <t>Pr espacio libre (dBm)</t>
  </si>
  <si>
    <t>Resultados del modelo log-distance con shadowing log-normal</t>
  </si>
  <si>
    <t>PL(d) = PL(d0) + 10·n·log10(d/d0) + Xσ      (Xσ ~ Normal(0, σ²) en dB)</t>
  </si>
  <si>
    <t>Unidad / nota</t>
  </si>
  <si>
    <t>Exponente de pérdida n</t>
  </si>
  <si>
    <t>adimensional (pendiente de PL vs 10·log10(d/d0))</t>
  </si>
  <si>
    <t>PL(d0) ajustada</t>
  </si>
  <si>
    <t>dB, en d0</t>
  </si>
  <si>
    <t>Desviación estándar σ</t>
  </si>
  <si>
    <t>dB (error estándar del ajuste, shadowing)</t>
  </si>
  <si>
    <t>R²</t>
  </si>
  <si>
    <t>coeficiente de determinación</t>
  </si>
  <si>
    <t>N° de muestras</t>
  </si>
  <si>
    <t>mediciones con dato</t>
  </si>
  <si>
    <t>Pr ajustada en d0</t>
  </si>
  <si>
    <t>PL en espacio libre a d0</t>
  </si>
  <si>
    <t>dB, = 20·log10(4π·d0/λ)</t>
  </si>
  <si>
    <t>Exceso sobre espacio libre en d0</t>
  </si>
  <si>
    <t>dB (pérdidas de cables, conectores, desadaptación, etc.)</t>
  </si>
  <si>
    <t>Distancia de campo lejano</t>
  </si>
  <si>
    <t>m (Fraunhofer)</t>
  </si>
  <si>
    <t>Valores de referencia del exponente n (Rappaport, 2ª ed., tabla de exponentes de pérdida; verificar contra tu edición)</t>
  </si>
  <si>
    <t>Ambiente</t>
  </si>
  <si>
    <t>n típico</t>
  </si>
  <si>
    <t>Espacio libre</t>
  </si>
  <si>
    <t>2</t>
  </si>
  <si>
    <t>Urbano celular/PCS</t>
  </si>
  <si>
    <t>2.7 – 3.5</t>
  </si>
  <si>
    <t>Urbano con sombra celular/PCS</t>
  </si>
  <si>
    <t>3 – 5</t>
  </si>
  <si>
    <t>Interior con línea de vista</t>
  </si>
  <si>
    <t>1.6 – 1.8</t>
  </si>
  <si>
    <t>Interior obstruido</t>
  </si>
  <si>
    <t>4 – 6</t>
  </si>
  <si>
    <t>Fábricas obstruidas</t>
  </si>
  <si>
    <t>2 – 3</t>
  </si>
  <si>
    <t>Pasillo piso 4</t>
  </si>
  <si>
    <t xml:space="preserve">Pr = potencia recibida medida. PL = Pt + Gt + Gr − Pr.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</si>
</sst>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5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sz val="11"/>
      <color rgb="FF0000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1" xfId="0" applyFont="1" applyBorder="1"/>
    <xf numFmtId="165" fontId="3" fillId="0" borderId="1" xfId="0" applyNumberFormat="1" applyFont="1" applyBorder="1"/>
    <xf numFmtId="0" fontId="2" fillId="0" borderId="0" xfId="0" applyFont="1"/>
    <xf numFmtId="0" fontId="4" fillId="0" borderId="0" xfId="0" applyFont="1"/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166" fontId="4" fillId="0" borderId="1" xfId="0" applyNumberFormat="1" applyFont="1" applyBorder="1"/>
    <xf numFmtId="166" fontId="3" fillId="0" borderId="1" xfId="0" applyNumberFormat="1" applyFont="1" applyBorder="1"/>
    <xf numFmtId="2" fontId="3" fillId="0" borderId="1" xfId="0" applyNumberFormat="1" applyFont="1" applyBorder="1"/>
    <xf numFmtId="1" fontId="3" fillId="0" borderId="1" xfId="0" applyNumberFormat="1" applyFont="1" applyBorder="1"/>
    <xf numFmtId="0" fontId="3" fillId="3" borderId="0" xfId="0" applyFont="1" applyFill="1"/>
    <xf numFmtId="0" fontId="4" fillId="3" borderId="1" xfId="0" applyFont="1" applyFill="1" applyBorder="1"/>
    <xf numFmtId="0" fontId="4" fillId="4" borderId="1" xfId="0" applyFont="1" applyFill="1" applyBorder="1"/>
    <xf numFmtId="164" fontId="3" fillId="4" borderId="1" xfId="0" applyNumberFormat="1" applyFont="1" applyFill="1" applyBorder="1"/>
    <xf numFmtId="165" fontId="3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8B855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</a:rPr>
              <a:t>Potencia recibida vs distancia (escala log)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Medición</c:v>
          </c:tx>
          <c:spPr>
            <a:ln w="28440">
              <a:noFill/>
            </a:ln>
          </c:spPr>
          <c:marker>
            <c:symbol val="circle"/>
            <c:size val="7"/>
            <c:spPr>
              <a:solidFill>
                <a:srgbClr val="1F4E79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Datos!$B$5:$B$46</c:f>
              <c:numCache>
                <c:formatCode>0.0</c:formatCode>
                <c:ptCount val="42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1.9</c:v>
                </c:pt>
                <c:pt idx="10">
                  <c:v>2</c:v>
                </c:pt>
                <c:pt idx="11">
                  <c:v>2.1</c:v>
                </c:pt>
                <c:pt idx="12">
                  <c:v>2.2000000000000002</c:v>
                </c:pt>
                <c:pt idx="13">
                  <c:v>2.2999999999999998</c:v>
                </c:pt>
                <c:pt idx="14">
                  <c:v>2.4</c:v>
                </c:pt>
                <c:pt idx="15">
                  <c:v>2.5</c:v>
                </c:pt>
                <c:pt idx="16">
                  <c:v>2.6</c:v>
                </c:pt>
                <c:pt idx="17">
                  <c:v>2.7</c:v>
                </c:pt>
                <c:pt idx="18">
                  <c:v>2.8</c:v>
                </c:pt>
                <c:pt idx="19">
                  <c:v>2.9</c:v>
                </c:pt>
                <c:pt idx="20">
                  <c:v>3</c:v>
                </c:pt>
                <c:pt idx="21">
                  <c:v>3.1</c:v>
                </c:pt>
                <c:pt idx="22">
                  <c:v>3.2</c:v>
                </c:pt>
                <c:pt idx="23">
                  <c:v>3.3</c:v>
                </c:pt>
                <c:pt idx="24">
                  <c:v>3.4</c:v>
                </c:pt>
                <c:pt idx="25">
                  <c:v>3.5</c:v>
                </c:pt>
                <c:pt idx="26">
                  <c:v>3.6</c:v>
                </c:pt>
                <c:pt idx="27">
                  <c:v>3.7</c:v>
                </c:pt>
                <c:pt idx="28">
                  <c:v>3.8</c:v>
                </c:pt>
                <c:pt idx="29">
                  <c:v>3.9</c:v>
                </c:pt>
                <c:pt idx="30">
                  <c:v>4</c:v>
                </c:pt>
                <c:pt idx="31">
                  <c:v>5</c:v>
                </c:pt>
                <c:pt idx="32">
                  <c:v>6</c:v>
                </c:pt>
                <c:pt idx="33">
                  <c:v>7</c:v>
                </c:pt>
                <c:pt idx="34">
                  <c:v>8</c:v>
                </c:pt>
                <c:pt idx="35">
                  <c:v>9</c:v>
                </c:pt>
                <c:pt idx="36">
                  <c:v>10</c:v>
                </c:pt>
                <c:pt idx="37">
                  <c:v>11</c:v>
                </c:pt>
                <c:pt idx="38">
                  <c:v>12</c:v>
                </c:pt>
                <c:pt idx="39">
                  <c:v>13</c:v>
                </c:pt>
                <c:pt idx="40">
                  <c:v>14</c:v>
                </c:pt>
                <c:pt idx="41">
                  <c:v>15</c:v>
                </c:pt>
              </c:numCache>
            </c:numRef>
          </c:xVal>
          <c:yVal>
            <c:numRef>
              <c:f>Datos!$C$5:$C$46</c:f>
              <c:numCache>
                <c:formatCode>0.0</c:formatCode>
                <c:ptCount val="42"/>
                <c:pt idx="0">
                  <c:v>-46.3</c:v>
                </c:pt>
                <c:pt idx="1">
                  <c:v>-50.5</c:v>
                </c:pt>
                <c:pt idx="2">
                  <c:v>-49.4</c:v>
                </c:pt>
                <c:pt idx="3">
                  <c:v>-53.5</c:v>
                </c:pt>
                <c:pt idx="4">
                  <c:v>-51.3</c:v>
                </c:pt>
                <c:pt idx="5">
                  <c:v>-52.5</c:v>
                </c:pt>
                <c:pt idx="6">
                  <c:v>-54.9</c:v>
                </c:pt>
                <c:pt idx="7">
                  <c:v>-55.6</c:v>
                </c:pt>
                <c:pt idx="8">
                  <c:v>-54</c:v>
                </c:pt>
                <c:pt idx="9">
                  <c:v>-55.2</c:v>
                </c:pt>
                <c:pt idx="10">
                  <c:v>-50.6</c:v>
                </c:pt>
                <c:pt idx="11">
                  <c:v>-54.3</c:v>
                </c:pt>
                <c:pt idx="12">
                  <c:v>-57.5</c:v>
                </c:pt>
                <c:pt idx="13">
                  <c:v>-58</c:v>
                </c:pt>
                <c:pt idx="14">
                  <c:v>-60</c:v>
                </c:pt>
                <c:pt idx="15">
                  <c:v>-58.3</c:v>
                </c:pt>
                <c:pt idx="16">
                  <c:v>-57.2</c:v>
                </c:pt>
                <c:pt idx="17">
                  <c:v>-59.1</c:v>
                </c:pt>
                <c:pt idx="18">
                  <c:v>-59.1</c:v>
                </c:pt>
                <c:pt idx="19">
                  <c:v>-55.6</c:v>
                </c:pt>
                <c:pt idx="20">
                  <c:v>-63.5</c:v>
                </c:pt>
                <c:pt idx="21">
                  <c:v>-61</c:v>
                </c:pt>
                <c:pt idx="22">
                  <c:v>-58.8</c:v>
                </c:pt>
                <c:pt idx="23">
                  <c:v>-60.2</c:v>
                </c:pt>
                <c:pt idx="24">
                  <c:v>-61.5</c:v>
                </c:pt>
                <c:pt idx="25">
                  <c:v>-62.1</c:v>
                </c:pt>
                <c:pt idx="26">
                  <c:v>-62.4</c:v>
                </c:pt>
                <c:pt idx="27">
                  <c:v>-60.3</c:v>
                </c:pt>
                <c:pt idx="28">
                  <c:v>-61.8</c:v>
                </c:pt>
                <c:pt idx="29">
                  <c:v>-64.400000000000006</c:v>
                </c:pt>
                <c:pt idx="30">
                  <c:v>-63.3</c:v>
                </c:pt>
                <c:pt idx="31">
                  <c:v>-68.7</c:v>
                </c:pt>
                <c:pt idx="32">
                  <c:v>-70.900000000000006</c:v>
                </c:pt>
                <c:pt idx="33">
                  <c:v>-68.400000000000006</c:v>
                </c:pt>
                <c:pt idx="34">
                  <c:v>-66.2</c:v>
                </c:pt>
                <c:pt idx="35">
                  <c:v>-71.5</c:v>
                </c:pt>
                <c:pt idx="36">
                  <c:v>-71.099999999999994</c:v>
                </c:pt>
                <c:pt idx="37">
                  <c:v>-71.900000000000006</c:v>
                </c:pt>
                <c:pt idx="38">
                  <c:v>-73.099999999999994</c:v>
                </c:pt>
                <c:pt idx="39">
                  <c:v>-72.5</c:v>
                </c:pt>
                <c:pt idx="40">
                  <c:v>-75.3</c:v>
                </c:pt>
                <c:pt idx="41">
                  <c:v>-75.3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C8E-4D6E-B803-AB3F37B3D3D9}"/>
            </c:ext>
          </c:extLst>
        </c:ser>
        <c:ser>
          <c:idx val="1"/>
          <c:order val="1"/>
          <c:tx>
            <c:v>Ajuste log-distance</c:v>
          </c:tx>
          <c:spPr>
            <a:ln w="2196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Datos!$B$5:$B$46</c:f>
              <c:numCache>
                <c:formatCode>0.0</c:formatCode>
                <c:ptCount val="42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1.9</c:v>
                </c:pt>
                <c:pt idx="10">
                  <c:v>2</c:v>
                </c:pt>
                <c:pt idx="11">
                  <c:v>2.1</c:v>
                </c:pt>
                <c:pt idx="12">
                  <c:v>2.2000000000000002</c:v>
                </c:pt>
                <c:pt idx="13">
                  <c:v>2.2999999999999998</c:v>
                </c:pt>
                <c:pt idx="14">
                  <c:v>2.4</c:v>
                </c:pt>
                <c:pt idx="15">
                  <c:v>2.5</c:v>
                </c:pt>
                <c:pt idx="16">
                  <c:v>2.6</c:v>
                </c:pt>
                <c:pt idx="17">
                  <c:v>2.7</c:v>
                </c:pt>
                <c:pt idx="18">
                  <c:v>2.8</c:v>
                </c:pt>
                <c:pt idx="19">
                  <c:v>2.9</c:v>
                </c:pt>
                <c:pt idx="20">
                  <c:v>3</c:v>
                </c:pt>
                <c:pt idx="21">
                  <c:v>3.1</c:v>
                </c:pt>
                <c:pt idx="22">
                  <c:v>3.2</c:v>
                </c:pt>
                <c:pt idx="23">
                  <c:v>3.3</c:v>
                </c:pt>
                <c:pt idx="24">
                  <c:v>3.4</c:v>
                </c:pt>
                <c:pt idx="25">
                  <c:v>3.5</c:v>
                </c:pt>
                <c:pt idx="26">
                  <c:v>3.6</c:v>
                </c:pt>
                <c:pt idx="27">
                  <c:v>3.7</c:v>
                </c:pt>
                <c:pt idx="28">
                  <c:v>3.8</c:v>
                </c:pt>
                <c:pt idx="29">
                  <c:v>3.9</c:v>
                </c:pt>
                <c:pt idx="30">
                  <c:v>4</c:v>
                </c:pt>
                <c:pt idx="31">
                  <c:v>5</c:v>
                </c:pt>
                <c:pt idx="32">
                  <c:v>6</c:v>
                </c:pt>
                <c:pt idx="33">
                  <c:v>7</c:v>
                </c:pt>
                <c:pt idx="34">
                  <c:v>8</c:v>
                </c:pt>
                <c:pt idx="35">
                  <c:v>9</c:v>
                </c:pt>
                <c:pt idx="36">
                  <c:v>10</c:v>
                </c:pt>
                <c:pt idx="37">
                  <c:v>11</c:v>
                </c:pt>
                <c:pt idx="38">
                  <c:v>12</c:v>
                </c:pt>
                <c:pt idx="39">
                  <c:v>13</c:v>
                </c:pt>
                <c:pt idx="40">
                  <c:v>14</c:v>
                </c:pt>
                <c:pt idx="41">
                  <c:v>15</c:v>
                </c:pt>
              </c:numCache>
            </c:numRef>
          </c:xVal>
          <c:yVal>
            <c:numRef>
              <c:f>Datos!$H$5:$H$46</c:f>
              <c:numCache>
                <c:formatCode>0.0</c:formatCode>
                <c:ptCount val="42"/>
                <c:pt idx="0">
                  <c:v>-48.802101258546571</c:v>
                </c:pt>
                <c:pt idx="1">
                  <c:v>-49.752978325781335</c:v>
                </c:pt>
                <c:pt idx="2">
                  <c:v>-50.621061075575945</c:v>
                </c:pt>
                <c:pt idx="3">
                  <c:v>-51.419619794932053</c:v>
                </c:pt>
                <c:pt idx="4">
                  <c:v>-52.158969687723342</c:v>
                </c:pt>
                <c:pt idx="5">
                  <c:v>-52.84728797055844</c:v>
                </c:pt>
                <c:pt idx="6">
                  <c:v>-53.491166723373233</c:v>
                </c:pt>
                <c:pt idx="7">
                  <c:v>-54.095997841238905</c:v>
                </c:pt>
                <c:pt idx="8">
                  <c:v>-54.666247787587814</c:v>
                </c:pt>
                <c:pt idx="9">
                  <c:v>-55.205657962876145</c:v>
                </c:pt>
                <c:pt idx="10">
                  <c:v>-55.717393618355729</c:v>
                </c:pt>
                <c:pt idx="11">
                  <c:v>-56.204156399735211</c:v>
                </c:pt>
                <c:pt idx="12">
                  <c:v>-56.668270685590485</c:v>
                </c:pt>
                <c:pt idx="13">
                  <c:v>-57.111750717981025</c:v>
                </c:pt>
                <c:pt idx="14">
                  <c:v>-57.536353435385109</c:v>
                </c:pt>
                <c:pt idx="15">
                  <c:v>-57.943620513338217</c:v>
                </c:pt>
                <c:pt idx="16">
                  <c:v>-58.334912154741204</c:v>
                </c:pt>
                <c:pt idx="17">
                  <c:v>-58.71143449959969</c:v>
                </c:pt>
                <c:pt idx="18">
                  <c:v>-59.0742620475325</c:v>
                </c:pt>
                <c:pt idx="19">
                  <c:v>-59.424356143840384</c:v>
                </c:pt>
                <c:pt idx="20">
                  <c:v>-59.762580330367598</c:v>
                </c:pt>
                <c:pt idx="21">
                  <c:v>-60.089713178349683</c:v>
                </c:pt>
                <c:pt idx="22">
                  <c:v>-60.406459083182398</c:v>
                </c:pt>
                <c:pt idx="23">
                  <c:v>-60.713457397602355</c:v>
                </c:pt>
                <c:pt idx="24">
                  <c:v>-61.01129020104807</c:v>
                </c:pt>
                <c:pt idx="25">
                  <c:v>-61.300488942514988</c:v>
                </c:pt>
                <c:pt idx="26">
                  <c:v>-61.581540147396964</c:v>
                </c:pt>
                <c:pt idx="27">
                  <c:v>-61.854890342252574</c:v>
                </c:pt>
                <c:pt idx="28">
                  <c:v>-62.120950322685303</c:v>
                </c:pt>
                <c:pt idx="29">
                  <c:v>-62.380098866753073</c:v>
                </c:pt>
                <c:pt idx="30">
                  <c:v>-62.632685978164886</c:v>
                </c:pt>
                <c:pt idx="31">
                  <c:v>-64.858912873147375</c:v>
                </c:pt>
                <c:pt idx="32">
                  <c:v>-66.677872690176756</c:v>
                </c:pt>
                <c:pt idx="33">
                  <c:v>-68.215781302324146</c:v>
                </c:pt>
                <c:pt idx="34">
                  <c:v>-69.54797833797403</c:v>
                </c:pt>
                <c:pt idx="35">
                  <c:v>-70.723059402188625</c:v>
                </c:pt>
                <c:pt idx="36">
                  <c:v>-71.774205232956533</c:v>
                </c:pt>
                <c:pt idx="37">
                  <c:v>-72.725082300191303</c:v>
                </c:pt>
                <c:pt idx="38">
                  <c:v>-73.593165049985913</c:v>
                </c:pt>
                <c:pt idx="39">
                  <c:v>-74.391723769342008</c:v>
                </c:pt>
                <c:pt idx="40">
                  <c:v>-75.131073662133304</c:v>
                </c:pt>
                <c:pt idx="41">
                  <c:v>-75.819391944968402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C8E-4D6E-B803-AB3F37B3D3D9}"/>
            </c:ext>
          </c:extLst>
        </c:ser>
        <c:ser>
          <c:idx val="2"/>
          <c:order val="2"/>
          <c:tx>
            <c:v>Espacio libre (n = 2)</c:v>
          </c:tx>
          <c:spPr>
            <a:ln w="15120">
              <a:solidFill>
                <a:srgbClr val="98B855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Datos!$B$5:$B$46</c:f>
              <c:numCache>
                <c:formatCode>0.0</c:formatCode>
                <c:ptCount val="42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1.9</c:v>
                </c:pt>
                <c:pt idx="10">
                  <c:v>2</c:v>
                </c:pt>
                <c:pt idx="11">
                  <c:v>2.1</c:v>
                </c:pt>
                <c:pt idx="12">
                  <c:v>2.2000000000000002</c:v>
                </c:pt>
                <c:pt idx="13">
                  <c:v>2.2999999999999998</c:v>
                </c:pt>
                <c:pt idx="14">
                  <c:v>2.4</c:v>
                </c:pt>
                <c:pt idx="15">
                  <c:v>2.5</c:v>
                </c:pt>
                <c:pt idx="16">
                  <c:v>2.6</c:v>
                </c:pt>
                <c:pt idx="17">
                  <c:v>2.7</c:v>
                </c:pt>
                <c:pt idx="18">
                  <c:v>2.8</c:v>
                </c:pt>
                <c:pt idx="19">
                  <c:v>2.9</c:v>
                </c:pt>
                <c:pt idx="20">
                  <c:v>3</c:v>
                </c:pt>
                <c:pt idx="21">
                  <c:v>3.1</c:v>
                </c:pt>
                <c:pt idx="22">
                  <c:v>3.2</c:v>
                </c:pt>
                <c:pt idx="23">
                  <c:v>3.3</c:v>
                </c:pt>
                <c:pt idx="24">
                  <c:v>3.4</c:v>
                </c:pt>
                <c:pt idx="25">
                  <c:v>3.5</c:v>
                </c:pt>
                <c:pt idx="26">
                  <c:v>3.6</c:v>
                </c:pt>
                <c:pt idx="27">
                  <c:v>3.7</c:v>
                </c:pt>
                <c:pt idx="28">
                  <c:v>3.8</c:v>
                </c:pt>
                <c:pt idx="29">
                  <c:v>3.9</c:v>
                </c:pt>
                <c:pt idx="30">
                  <c:v>4</c:v>
                </c:pt>
                <c:pt idx="31">
                  <c:v>5</c:v>
                </c:pt>
                <c:pt idx="32">
                  <c:v>6</c:v>
                </c:pt>
                <c:pt idx="33">
                  <c:v>7</c:v>
                </c:pt>
                <c:pt idx="34">
                  <c:v>8</c:v>
                </c:pt>
                <c:pt idx="35">
                  <c:v>9</c:v>
                </c:pt>
                <c:pt idx="36">
                  <c:v>10</c:v>
                </c:pt>
                <c:pt idx="37">
                  <c:v>11</c:v>
                </c:pt>
                <c:pt idx="38">
                  <c:v>12</c:v>
                </c:pt>
                <c:pt idx="39">
                  <c:v>13</c:v>
                </c:pt>
                <c:pt idx="40">
                  <c:v>14</c:v>
                </c:pt>
                <c:pt idx="41">
                  <c:v>15</c:v>
                </c:pt>
              </c:numCache>
            </c:numRef>
          </c:xVal>
          <c:yVal>
            <c:numRef>
              <c:f>Datos!$I$5:$I$46</c:f>
              <c:numCache>
                <c:formatCode>0.0</c:formatCode>
                <c:ptCount val="42"/>
                <c:pt idx="0">
                  <c:v>-31.978008449174872</c:v>
                </c:pt>
                <c:pt idx="1">
                  <c:v>-32.80586215233938</c:v>
                </c:pt>
                <c:pt idx="2">
                  <c:v>-33.561633370127375</c:v>
                </c:pt>
                <c:pt idx="3">
                  <c:v>-34.256875495311611</c:v>
                </c:pt>
                <c:pt idx="4">
                  <c:v>-34.900569162739636</c:v>
                </c:pt>
                <c:pt idx="5">
                  <c:v>-35.499833630288499</c:v>
                </c:pt>
                <c:pt idx="6">
                  <c:v>-36.060408102293373</c:v>
                </c:pt>
                <c:pt idx="7">
                  <c:v>-36.586986876740355</c:v>
                </c:pt>
                <c:pt idx="8">
                  <c:v>-37.083458551241002</c:v>
                </c:pt>
                <c:pt idx="9">
                  <c:v>-37.553080468231457</c:v>
                </c:pt>
                <c:pt idx="10">
                  <c:v>-37.998608362454497</c:v>
                </c:pt>
                <c:pt idx="11">
                  <c:v>-38.422394343853263</c:v>
                </c:pt>
                <c:pt idx="12">
                  <c:v>-38.826462065619005</c:v>
                </c:pt>
                <c:pt idx="13">
                  <c:v>-39.212565169526734</c:v>
                </c:pt>
                <c:pt idx="14">
                  <c:v>-39.582233283407</c:v>
                </c:pt>
                <c:pt idx="15">
                  <c:v>-39.936808622615629</c:v>
                </c:pt>
                <c:pt idx="16">
                  <c:v>-40.277475408591236</c:v>
                </c:pt>
                <c:pt idx="17">
                  <c:v>-40.605283732354621</c:v>
                </c:pt>
                <c:pt idx="18">
                  <c:v>-40.921169076019261</c:v>
                </c:pt>
                <c:pt idx="19">
                  <c:v>-41.225968407153999</c:v>
                </c:pt>
                <c:pt idx="20">
                  <c:v>-41.520433543568124</c:v>
                </c:pt>
                <c:pt idx="21">
                  <c:v>-41.805242325860334</c:v>
                </c:pt>
                <c:pt idx="22">
                  <c:v>-42.081008015572998</c:v>
                </c:pt>
                <c:pt idx="23">
                  <c:v>-42.348287246732625</c:v>
                </c:pt>
                <c:pt idx="24">
                  <c:v>-42.60758679001998</c:v>
                </c:pt>
                <c:pt idx="25">
                  <c:v>-42.859369336180386</c:v>
                </c:pt>
                <c:pt idx="26">
                  <c:v>-43.10405846452062</c:v>
                </c:pt>
                <c:pt idx="27">
                  <c:v>-43.342042930514772</c:v>
                </c:pt>
                <c:pt idx="28">
                  <c:v>-43.573680381511075</c:v>
                </c:pt>
                <c:pt idx="29">
                  <c:v>-43.799300589704863</c:v>
                </c:pt>
                <c:pt idx="30">
                  <c:v>-44.019208275734123</c:v>
                </c:pt>
                <c:pt idx="31">
                  <c:v>-45.957408535895247</c:v>
                </c:pt>
                <c:pt idx="32">
                  <c:v>-47.54103345684775</c:v>
                </c:pt>
                <c:pt idx="33">
                  <c:v>-48.879969249460011</c:v>
                </c:pt>
                <c:pt idx="34">
                  <c:v>-50.039808189013748</c:v>
                </c:pt>
                <c:pt idx="35">
                  <c:v>-51.062858637961376</c:v>
                </c:pt>
                <c:pt idx="36">
                  <c:v>-51.978008449174872</c:v>
                </c:pt>
                <c:pt idx="37">
                  <c:v>-52.805862152339373</c:v>
                </c:pt>
                <c:pt idx="38">
                  <c:v>-53.561633370127375</c:v>
                </c:pt>
                <c:pt idx="39">
                  <c:v>-54.256875495311611</c:v>
                </c:pt>
                <c:pt idx="40">
                  <c:v>-54.900569162739636</c:v>
                </c:pt>
                <c:pt idx="41">
                  <c:v>-55.499833630288506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C8E-4D6E-B803-AB3F37B3D3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856773"/>
        <c:axId val="68338069"/>
      </c:scatterChart>
      <c:valAx>
        <c:axId val="90856773"/>
        <c:scaling>
          <c:logBase val="10"/>
          <c:orientation val="minMax"/>
          <c:max val="20"/>
          <c:min val="1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</a:rPr>
                  <a:t>Distancia (m) – escala logarítmica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68338069"/>
        <c:crosses val="min"/>
        <c:crossBetween val="midCat"/>
      </c:valAx>
      <c:valAx>
        <c:axId val="68338069"/>
        <c:scaling>
          <c:orientation val="minMax"/>
          <c:max val="-30"/>
          <c:min val="-9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</a:rPr>
                  <a:t>Potencia (dBm)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90856773"/>
        <c:crosses val="autoZero"/>
        <c:crossBetween val="midCat"/>
        <c:majorUnit val="10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160920</xdr:rowOff>
    </xdr:from>
    <xdr:to>
      <xdr:col>16</xdr:col>
      <xdr:colOff>581760</xdr:colOff>
      <xdr:row>23</xdr:row>
      <xdr:rowOff>119880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zoomScaleNormal="100" workbookViewId="0">
      <selection activeCell="A38" sqref="A38"/>
    </sheetView>
  </sheetViews>
  <sheetFormatPr baseColWidth="10" defaultColWidth="8.7109375" defaultRowHeight="15" x14ac:dyDescent="0.25"/>
  <cols>
    <col min="1" max="1" width="40" customWidth="1"/>
    <col min="2" max="2" width="16" customWidth="1"/>
    <col min="3" max="3" width="10" customWidth="1"/>
  </cols>
  <sheetData>
    <row r="1" spans="1:3" ht="18" x14ac:dyDescent="0.25">
      <c r="A1" s="1" t="s">
        <v>0</v>
      </c>
    </row>
    <row r="3" spans="1:3" x14ac:dyDescent="0.25">
      <c r="A3" s="2" t="s">
        <v>1</v>
      </c>
      <c r="B3" s="2" t="s">
        <v>2</v>
      </c>
      <c r="C3" s="2" t="s">
        <v>3</v>
      </c>
    </row>
    <row r="4" spans="1:3" x14ac:dyDescent="0.25">
      <c r="A4" s="3" t="s">
        <v>4</v>
      </c>
      <c r="B4" s="14" t="s">
        <v>66</v>
      </c>
      <c r="C4" s="3"/>
    </row>
    <row r="5" spans="1:3" x14ac:dyDescent="0.25">
      <c r="A5" s="3" t="s">
        <v>5</v>
      </c>
      <c r="B5" s="14">
        <v>2670</v>
      </c>
      <c r="C5" s="3" t="s">
        <v>6</v>
      </c>
    </row>
    <row r="6" spans="1:3" x14ac:dyDescent="0.25">
      <c r="A6" s="3" t="s">
        <v>7</v>
      </c>
      <c r="B6" s="15">
        <v>299792458</v>
      </c>
      <c r="C6" s="3" t="s">
        <v>8</v>
      </c>
    </row>
    <row r="7" spans="1:3" x14ac:dyDescent="0.25">
      <c r="A7" s="3" t="s">
        <v>9</v>
      </c>
      <c r="B7" s="16">
        <f>B6/(B5*1000000)</f>
        <v>0.11228181947565544</v>
      </c>
      <c r="C7" s="3" t="s">
        <v>10</v>
      </c>
    </row>
    <row r="8" spans="1:3" x14ac:dyDescent="0.25">
      <c r="A8" s="3" t="s">
        <v>11</v>
      </c>
      <c r="B8" s="14">
        <v>0.1</v>
      </c>
      <c r="C8" s="3" t="s">
        <v>10</v>
      </c>
    </row>
    <row r="9" spans="1:3" x14ac:dyDescent="0.25">
      <c r="A9" s="3" t="s">
        <v>12</v>
      </c>
      <c r="B9" s="14">
        <v>0.12</v>
      </c>
      <c r="C9" s="3" t="s">
        <v>10</v>
      </c>
    </row>
    <row r="10" spans="1:3" x14ac:dyDescent="0.25">
      <c r="A10" s="3" t="s">
        <v>13</v>
      </c>
      <c r="B10" s="15">
        <v>0</v>
      </c>
      <c r="C10" s="3" t="s">
        <v>14</v>
      </c>
    </row>
    <row r="11" spans="1:3" x14ac:dyDescent="0.25">
      <c r="A11" s="3" t="s">
        <v>15</v>
      </c>
      <c r="B11" s="15">
        <v>4.5</v>
      </c>
      <c r="C11" s="3" t="s">
        <v>16</v>
      </c>
    </row>
    <row r="12" spans="1:3" x14ac:dyDescent="0.25">
      <c r="A12" s="3" t="s">
        <v>17</v>
      </c>
      <c r="B12" s="15">
        <v>4.5</v>
      </c>
      <c r="C12" s="3" t="s">
        <v>16</v>
      </c>
    </row>
    <row r="13" spans="1:3" x14ac:dyDescent="0.25">
      <c r="A13" s="3" t="s">
        <v>18</v>
      </c>
      <c r="B13" s="15">
        <v>1</v>
      </c>
      <c r="C13" s="3" t="s">
        <v>10</v>
      </c>
    </row>
    <row r="14" spans="1:3" x14ac:dyDescent="0.25">
      <c r="A14" s="3" t="s">
        <v>19</v>
      </c>
      <c r="B14" s="14">
        <v>0.12</v>
      </c>
      <c r="C14" s="3" t="s">
        <v>10</v>
      </c>
    </row>
    <row r="15" spans="1:3" x14ac:dyDescent="0.25">
      <c r="A15" s="3" t="s">
        <v>20</v>
      </c>
      <c r="B15" s="17">
        <f>2*B14^2/B7</f>
        <v>0.25649744664357099</v>
      </c>
      <c r="C15" s="3" t="s">
        <v>10</v>
      </c>
    </row>
    <row r="18" spans="1:1" x14ac:dyDescent="0.25">
      <c r="A18" s="5"/>
    </row>
    <row r="19" spans="1:1" x14ac:dyDescent="0.25">
      <c r="A19" s="13"/>
    </row>
    <row r="20" spans="1:1" x14ac:dyDescent="0.25">
      <c r="A20" s="6"/>
    </row>
    <row r="21" spans="1:1" x14ac:dyDescent="0.25">
      <c r="A21" s="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6"/>
  <sheetViews>
    <sheetView zoomScaleNormal="100" workbookViewId="0">
      <pane ySplit="4" topLeftCell="A5" activePane="bottomLeft" state="frozen"/>
      <selection pane="bottomLeft" activeCell="F6" sqref="F6"/>
    </sheetView>
  </sheetViews>
  <sheetFormatPr baseColWidth="10" defaultColWidth="8.7109375" defaultRowHeight="15" x14ac:dyDescent="0.25"/>
  <cols>
    <col min="1" max="1" width="6" customWidth="1"/>
    <col min="2" max="2" width="14" customWidth="1"/>
    <col min="3" max="3" width="16" customWidth="1"/>
    <col min="4" max="6" width="15" customWidth="1"/>
    <col min="7" max="7" width="13" customWidth="1"/>
    <col min="8" max="8" width="16" customWidth="1"/>
    <col min="9" max="9" width="18" customWidth="1"/>
  </cols>
  <sheetData>
    <row r="1" spans="1:9" ht="18" x14ac:dyDescent="0.25">
      <c r="A1" s="1" t="s">
        <v>21</v>
      </c>
    </row>
    <row r="2" spans="1:9" x14ac:dyDescent="0.25">
      <c r="A2" s="7" t="s">
        <v>67</v>
      </c>
    </row>
    <row r="4" spans="1:9" ht="31.5" customHeight="1" x14ac:dyDescent="0.25">
      <c r="A4" s="8" t="s">
        <v>22</v>
      </c>
      <c r="B4" s="8" t="s">
        <v>23</v>
      </c>
      <c r="C4" s="8" t="s">
        <v>24</v>
      </c>
      <c r="D4" s="8" t="s">
        <v>25</v>
      </c>
      <c r="E4" s="8" t="s">
        <v>26</v>
      </c>
      <c r="F4" s="8" t="s">
        <v>27</v>
      </c>
      <c r="G4" s="8" t="s">
        <v>28</v>
      </c>
      <c r="H4" s="8" t="s">
        <v>29</v>
      </c>
      <c r="I4" s="8" t="s">
        <v>30</v>
      </c>
    </row>
    <row r="5" spans="1:9" x14ac:dyDescent="0.25">
      <c r="A5" s="3">
        <v>1</v>
      </c>
      <c r="B5" s="9">
        <v>1</v>
      </c>
      <c r="C5" s="9">
        <v>-46.3</v>
      </c>
      <c r="D5" s="10">
        <f>IF(C5="","",Parámetros!$B$10+Parámetros!$B$11+Parámetros!$B$12-C5)</f>
        <v>55.3</v>
      </c>
      <c r="E5" s="10">
        <f>IF(C5="","",10*LOG10(B5/Parámetros!$B$13))</f>
        <v>0</v>
      </c>
      <c r="F5" s="10">
        <f>Resultados!$B$6+10*Resultados!$B$5*LOG10(B5/Parámetros!$B$13)</f>
        <v>57.802101258546571</v>
      </c>
      <c r="G5" s="10">
        <f t="shared" ref="G5:G46" si="0">IF(C5="","",D5-F5)</f>
        <v>-2.5021012585465741</v>
      </c>
      <c r="H5" s="10">
        <f>Parámetros!$B$10+Parámetros!$B$11+Parámetros!$B$12-F5</f>
        <v>-48.802101258546571</v>
      </c>
      <c r="I5" s="10">
        <f>Parámetros!$B$10+Parámetros!$B$11+Parámetros!$B$12-20*LOG10(4*PI()*B5/Parámetros!$B$7)</f>
        <v>-31.978008449174872</v>
      </c>
    </row>
    <row r="6" spans="1:9" x14ac:dyDescent="0.25">
      <c r="A6" s="3">
        <v>2</v>
      </c>
      <c r="B6" s="9">
        <v>1.1000000000000001</v>
      </c>
      <c r="C6" s="9">
        <v>-50.5</v>
      </c>
      <c r="D6" s="10">
        <f>IF(C6="","",Parámetros!$B$10+Parámetros!$B$11+Parámetros!$B$12-C6)</f>
        <v>59.5</v>
      </c>
      <c r="E6" s="10">
        <f>IF(C6="","",10*LOG10(B6/Parámetros!$B$13))</f>
        <v>0.41392685158225079</v>
      </c>
      <c r="F6" s="10">
        <f>Resultados!$B$6+10*Resultados!$B$5*LOG10(B6/Parámetros!$B$13)</f>
        <v>58.752978325781335</v>
      </c>
      <c r="G6" s="10">
        <f t="shared" si="0"/>
        <v>0.74702167421866505</v>
      </c>
      <c r="H6" s="10">
        <f>Parámetros!$B$10+Parámetros!$B$11+Parámetros!$B$12-F6</f>
        <v>-49.752978325781335</v>
      </c>
      <c r="I6" s="10">
        <f>Parámetros!$B$10+Parámetros!$B$11+Parámetros!$B$12-20*LOG10(4*PI()*B6/Parámetros!$B$7)</f>
        <v>-32.80586215233938</v>
      </c>
    </row>
    <row r="7" spans="1:9" x14ac:dyDescent="0.25">
      <c r="A7" s="3">
        <v>3</v>
      </c>
      <c r="B7" s="9">
        <v>1.2</v>
      </c>
      <c r="C7" s="9">
        <v>-49.4</v>
      </c>
      <c r="D7" s="10">
        <f>IF(C7="","",Parámetros!$B$10+Parámetros!$B$11+Parámetros!$B$12-C7)</f>
        <v>58.4</v>
      </c>
      <c r="E7" s="10">
        <f>IF(C7="","",10*LOG10(B7/Parámetros!$B$13))</f>
        <v>0.7918124604762482</v>
      </c>
      <c r="F7" s="10">
        <f>Resultados!$B$6+10*Resultados!$B$5*LOG10(B7/Parámetros!$B$13)</f>
        <v>59.621061075575945</v>
      </c>
      <c r="G7" s="10">
        <f t="shared" si="0"/>
        <v>-1.2210610755759461</v>
      </c>
      <c r="H7" s="10">
        <f>Parámetros!$B$10+Parámetros!$B$11+Parámetros!$B$12-F7</f>
        <v>-50.621061075575945</v>
      </c>
      <c r="I7" s="10">
        <f>Parámetros!$B$10+Parámetros!$B$11+Parámetros!$B$12-20*LOG10(4*PI()*B7/Parámetros!$B$7)</f>
        <v>-33.561633370127375</v>
      </c>
    </row>
    <row r="8" spans="1:9" x14ac:dyDescent="0.25">
      <c r="A8" s="3">
        <v>4</v>
      </c>
      <c r="B8" s="9">
        <v>1.3</v>
      </c>
      <c r="C8" s="9">
        <v>-53.5</v>
      </c>
      <c r="D8" s="10">
        <f>IF(C8="","",Parámetros!$B$10+Parámetros!$B$11+Parámetros!$B$12-C8)</f>
        <v>62.5</v>
      </c>
      <c r="E8" s="10">
        <f>IF(C8="","",10*LOG10(B8/Parámetros!$B$13))</f>
        <v>1.1394335230683679</v>
      </c>
      <c r="F8" s="10">
        <f>Resultados!$B$6+10*Resultados!$B$5*LOG10(B8/Parámetros!$B$13)</f>
        <v>60.419619794932053</v>
      </c>
      <c r="G8" s="10">
        <f t="shared" si="0"/>
        <v>2.0803802050679465</v>
      </c>
      <c r="H8" s="10">
        <f>Parámetros!$B$10+Parámetros!$B$11+Parámetros!$B$12-F8</f>
        <v>-51.419619794932053</v>
      </c>
      <c r="I8" s="10">
        <f>Parámetros!$B$10+Parámetros!$B$11+Parámetros!$B$12-20*LOG10(4*PI()*B8/Parámetros!$B$7)</f>
        <v>-34.256875495311611</v>
      </c>
    </row>
    <row r="9" spans="1:9" x14ac:dyDescent="0.25">
      <c r="A9" s="3">
        <v>5</v>
      </c>
      <c r="B9" s="9">
        <v>1.4</v>
      </c>
      <c r="C9" s="9">
        <v>-51.3</v>
      </c>
      <c r="D9" s="10">
        <f>IF(C9="","",Parámetros!$B$10+Parámetros!$B$11+Parámetros!$B$12-C9)</f>
        <v>60.3</v>
      </c>
      <c r="E9" s="10">
        <f>IF(C9="","",10*LOG10(B9/Parámetros!$B$13))</f>
        <v>1.46128035678238</v>
      </c>
      <c r="F9" s="10">
        <f>Resultados!$B$6+10*Resultados!$B$5*LOG10(B9/Parámetros!$B$13)</f>
        <v>61.158969687723342</v>
      </c>
      <c r="G9" s="10">
        <f t="shared" si="0"/>
        <v>-0.85896968772334503</v>
      </c>
      <c r="H9" s="10">
        <f>Parámetros!$B$10+Parámetros!$B$11+Parámetros!$B$12-F9</f>
        <v>-52.158969687723342</v>
      </c>
      <c r="I9" s="10">
        <f>Parámetros!$B$10+Parámetros!$B$11+Parámetros!$B$12-20*LOG10(4*PI()*B9/Parámetros!$B$7)</f>
        <v>-34.900569162739636</v>
      </c>
    </row>
    <row r="10" spans="1:9" x14ac:dyDescent="0.25">
      <c r="A10" s="3">
        <v>6</v>
      </c>
      <c r="B10" s="9">
        <v>1.5</v>
      </c>
      <c r="C10" s="9">
        <v>-52.5</v>
      </c>
      <c r="D10" s="10">
        <f>IF(C10="","",Parámetros!$B$10+Parámetros!$B$11+Parámetros!$B$12-C10)</f>
        <v>61.5</v>
      </c>
      <c r="E10" s="10">
        <f>IF(C10="","",10*LOG10(B10/Parámetros!$B$13))</f>
        <v>1.7609125905568124</v>
      </c>
      <c r="F10" s="10">
        <f>Resultados!$B$6+10*Resultados!$B$5*LOG10(B10/Parámetros!$B$13)</f>
        <v>61.84728797055844</v>
      </c>
      <c r="G10" s="10">
        <f t="shared" si="0"/>
        <v>-0.34728797055844041</v>
      </c>
      <c r="H10" s="10">
        <f>Parámetros!$B$10+Parámetros!$B$11+Parámetros!$B$12-F10</f>
        <v>-52.84728797055844</v>
      </c>
      <c r="I10" s="10">
        <f>Parámetros!$B$10+Parámetros!$B$11+Parámetros!$B$12-20*LOG10(4*PI()*B10/Parámetros!$B$7)</f>
        <v>-35.499833630288499</v>
      </c>
    </row>
    <row r="11" spans="1:9" x14ac:dyDescent="0.25">
      <c r="A11" s="3">
        <v>7</v>
      </c>
      <c r="B11" s="9">
        <v>1.6</v>
      </c>
      <c r="C11" s="9">
        <v>-54.9</v>
      </c>
      <c r="D11" s="10">
        <f>IF(C11="","",Parámetros!$B$10+Parámetros!$B$11+Parámetros!$B$12-C11)</f>
        <v>63.9</v>
      </c>
      <c r="E11" s="10">
        <f>IF(C11="","",10*LOG10(B11/Parámetros!$B$13))</f>
        <v>2.0411998265592479</v>
      </c>
      <c r="F11" s="10">
        <f>Resultados!$B$6+10*Resultados!$B$5*LOG10(B11/Parámetros!$B$13)</f>
        <v>62.491166723373233</v>
      </c>
      <c r="G11" s="10">
        <f t="shared" si="0"/>
        <v>1.4088332766267655</v>
      </c>
      <c r="H11" s="10">
        <f>Parámetros!$B$10+Parámetros!$B$11+Parámetros!$B$12-F11</f>
        <v>-53.491166723373233</v>
      </c>
      <c r="I11" s="10">
        <f>Parámetros!$B$10+Parámetros!$B$11+Parámetros!$B$12-20*LOG10(4*PI()*B11/Parámetros!$B$7)</f>
        <v>-36.060408102293373</v>
      </c>
    </row>
    <row r="12" spans="1:9" x14ac:dyDescent="0.25">
      <c r="A12" s="3">
        <v>8</v>
      </c>
      <c r="B12" s="9">
        <v>1.7</v>
      </c>
      <c r="C12" s="9">
        <v>-55.6</v>
      </c>
      <c r="D12" s="10">
        <f>IF(C12="","",Parámetros!$B$10+Parámetros!$B$11+Parámetros!$B$12-C12)</f>
        <v>64.599999999999994</v>
      </c>
      <c r="E12" s="10">
        <f>IF(C12="","",10*LOG10(B12/Parámetros!$B$13))</f>
        <v>2.3044892137827393</v>
      </c>
      <c r="F12" s="10">
        <f>Resultados!$B$6+10*Resultados!$B$5*LOG10(B12/Parámetros!$B$13)</f>
        <v>63.095997841238905</v>
      </c>
      <c r="G12" s="10">
        <f t="shared" si="0"/>
        <v>1.5040021587610894</v>
      </c>
      <c r="H12" s="10">
        <f>Parámetros!$B$10+Parámetros!$B$11+Parámetros!$B$12-F12</f>
        <v>-54.095997841238905</v>
      </c>
      <c r="I12" s="10">
        <f>Parámetros!$B$10+Parámetros!$B$11+Parámetros!$B$12-20*LOG10(4*PI()*B12/Parámetros!$B$7)</f>
        <v>-36.586986876740355</v>
      </c>
    </row>
    <row r="13" spans="1:9" x14ac:dyDescent="0.25">
      <c r="A13" s="3">
        <v>9</v>
      </c>
      <c r="B13" s="9">
        <v>1.8</v>
      </c>
      <c r="C13" s="9">
        <v>-54</v>
      </c>
      <c r="D13" s="10">
        <f>IF(C13="","",Parámetros!$B$10+Parámetros!$B$11+Parámetros!$B$12-C13)</f>
        <v>63</v>
      </c>
      <c r="E13" s="10">
        <f>IF(C13="","",10*LOG10(B13/Parámetros!$B$13))</f>
        <v>2.5527250510330606</v>
      </c>
      <c r="F13" s="10">
        <f>Resultados!$B$6+10*Resultados!$B$5*LOG10(B13/Parámetros!$B$13)</f>
        <v>63.666247787587814</v>
      </c>
      <c r="G13" s="10">
        <f t="shared" si="0"/>
        <v>-0.66624778758781389</v>
      </c>
      <c r="H13" s="10">
        <f>Parámetros!$B$10+Parámetros!$B$11+Parámetros!$B$12-F13</f>
        <v>-54.666247787587814</v>
      </c>
      <c r="I13" s="10">
        <f>Parámetros!$B$10+Parámetros!$B$11+Parámetros!$B$12-20*LOG10(4*PI()*B13/Parámetros!$B$7)</f>
        <v>-37.083458551241002</v>
      </c>
    </row>
    <row r="14" spans="1:9" x14ac:dyDescent="0.25">
      <c r="A14" s="3">
        <v>10</v>
      </c>
      <c r="B14" s="9">
        <v>1.9</v>
      </c>
      <c r="C14" s="9">
        <v>-55.2</v>
      </c>
      <c r="D14" s="10">
        <f>IF(C14="","",Parámetros!$B$10+Parámetros!$B$11+Parámetros!$B$12-C14)</f>
        <v>64.2</v>
      </c>
      <c r="E14" s="10">
        <f>IF(C14="","",10*LOG10(B14/Parámetros!$B$13))</f>
        <v>2.7875360095282891</v>
      </c>
      <c r="F14" s="10">
        <f>Resultados!$B$6+10*Resultados!$B$5*LOG10(B14/Parámetros!$B$13)</f>
        <v>64.205657962876145</v>
      </c>
      <c r="G14" s="10">
        <f t="shared" si="0"/>
        <v>-5.6579628761426193E-3</v>
      </c>
      <c r="H14" s="10">
        <f>Parámetros!$B$10+Parámetros!$B$11+Parámetros!$B$12-F14</f>
        <v>-55.205657962876145</v>
      </c>
      <c r="I14" s="10">
        <f>Parámetros!$B$10+Parámetros!$B$11+Parámetros!$B$12-20*LOG10(4*PI()*B14/Parámetros!$B$7)</f>
        <v>-37.553080468231457</v>
      </c>
    </row>
    <row r="15" spans="1:9" x14ac:dyDescent="0.25">
      <c r="A15" s="3">
        <v>11</v>
      </c>
      <c r="B15" s="9">
        <v>2</v>
      </c>
      <c r="C15" s="9">
        <v>-50.6</v>
      </c>
      <c r="D15" s="10">
        <f>IF(C15="","",Parámetros!$B$10+Parámetros!$B$11+Parámetros!$B$12-C15)</f>
        <v>59.6</v>
      </c>
      <c r="E15" s="10">
        <f>IF(C15="","",10*LOG10(B15/Parámetros!$B$13))</f>
        <v>3.0102999566398121</v>
      </c>
      <c r="F15" s="10">
        <f>Resultados!$B$6+10*Resultados!$B$5*LOG10(B15/Parámetros!$B$13)</f>
        <v>64.717393618355729</v>
      </c>
      <c r="G15" s="10">
        <f t="shared" si="0"/>
        <v>-5.1173936183557274</v>
      </c>
      <c r="H15" s="10">
        <f>Parámetros!$B$10+Parámetros!$B$11+Parámetros!$B$12-F15</f>
        <v>-55.717393618355729</v>
      </c>
      <c r="I15" s="10">
        <f>Parámetros!$B$10+Parámetros!$B$11+Parámetros!$B$12-20*LOG10(4*PI()*B15/Parámetros!$B$7)</f>
        <v>-37.998608362454497</v>
      </c>
    </row>
    <row r="16" spans="1:9" x14ac:dyDescent="0.25">
      <c r="A16" s="3">
        <v>12</v>
      </c>
      <c r="B16" s="9">
        <v>2.1</v>
      </c>
      <c r="C16" s="9">
        <v>-54.3</v>
      </c>
      <c r="D16" s="10">
        <f>IF(C16="","",Parámetros!$B$10+Parámetros!$B$11+Parámetros!$B$12-C16)</f>
        <v>63.3</v>
      </c>
      <c r="E16" s="10">
        <f>IF(C16="","",10*LOG10(B16/Parámetros!$B$13))</f>
        <v>3.222192947339193</v>
      </c>
      <c r="F16" s="10">
        <f>Resultados!$B$6+10*Resultados!$B$5*LOG10(B16/Parámetros!$B$13)</f>
        <v>65.204156399735211</v>
      </c>
      <c r="G16" s="10">
        <f t="shared" si="0"/>
        <v>-1.9041563997352142</v>
      </c>
      <c r="H16" s="10">
        <f>Parámetros!$B$10+Parámetros!$B$11+Parámetros!$B$12-F16</f>
        <v>-56.204156399735211</v>
      </c>
      <c r="I16" s="10">
        <f>Parámetros!$B$10+Parámetros!$B$11+Parámetros!$B$12-20*LOG10(4*PI()*B16/Parámetros!$B$7)</f>
        <v>-38.422394343853263</v>
      </c>
    </row>
    <row r="17" spans="1:9" x14ac:dyDescent="0.25">
      <c r="A17" s="3">
        <v>13</v>
      </c>
      <c r="B17" s="9">
        <v>2.2000000000000002</v>
      </c>
      <c r="C17" s="9">
        <v>-57.5</v>
      </c>
      <c r="D17" s="10">
        <f>IF(C17="","",Parámetros!$B$10+Parámetros!$B$11+Parámetros!$B$12-C17)</f>
        <v>66.5</v>
      </c>
      <c r="E17" s="10">
        <f>IF(C17="","",10*LOG10(B17/Parámetros!$B$13))</f>
        <v>3.4242268082220626</v>
      </c>
      <c r="F17" s="10">
        <f>Resultados!$B$6+10*Resultados!$B$5*LOG10(B17/Parámetros!$B$13)</f>
        <v>65.668270685590485</v>
      </c>
      <c r="G17" s="10">
        <f t="shared" si="0"/>
        <v>0.83172931440951459</v>
      </c>
      <c r="H17" s="10">
        <f>Parámetros!$B$10+Parámetros!$B$11+Parámetros!$B$12-F17</f>
        <v>-56.668270685590485</v>
      </c>
      <c r="I17" s="10">
        <f>Parámetros!$B$10+Parámetros!$B$11+Parámetros!$B$12-20*LOG10(4*PI()*B17/Parámetros!$B$7)</f>
        <v>-38.826462065619005</v>
      </c>
    </row>
    <row r="18" spans="1:9" x14ac:dyDescent="0.25">
      <c r="A18" s="3">
        <v>14</v>
      </c>
      <c r="B18" s="9">
        <v>2.2999999999999998</v>
      </c>
      <c r="C18" s="9">
        <v>-58</v>
      </c>
      <c r="D18" s="10">
        <f>IF(C18="","",Parámetros!$B$10+Parámetros!$B$11+Parámetros!$B$12-C18)</f>
        <v>67</v>
      </c>
      <c r="E18" s="10">
        <f>IF(C18="","",10*LOG10(B18/Parámetros!$B$13))</f>
        <v>3.6172783601759284</v>
      </c>
      <c r="F18" s="10">
        <f>Resultados!$B$6+10*Resultados!$B$5*LOG10(B18/Parámetros!$B$13)</f>
        <v>66.111750717981025</v>
      </c>
      <c r="G18" s="10">
        <f t="shared" si="0"/>
        <v>0.88824928201897535</v>
      </c>
      <c r="H18" s="10">
        <f>Parámetros!$B$10+Parámetros!$B$11+Parámetros!$B$12-F18</f>
        <v>-57.111750717981025</v>
      </c>
      <c r="I18" s="10">
        <f>Parámetros!$B$10+Parámetros!$B$11+Parámetros!$B$12-20*LOG10(4*PI()*B18/Parámetros!$B$7)</f>
        <v>-39.212565169526734</v>
      </c>
    </row>
    <row r="19" spans="1:9" x14ac:dyDescent="0.25">
      <c r="A19" s="3">
        <v>15</v>
      </c>
      <c r="B19" s="9">
        <v>2.4</v>
      </c>
      <c r="C19" s="9">
        <v>-60</v>
      </c>
      <c r="D19" s="10">
        <f>IF(C19="","",Parámetros!$B$10+Parámetros!$B$11+Parámetros!$B$12-C19)</f>
        <v>69</v>
      </c>
      <c r="E19" s="10">
        <f>IF(C19="","",10*LOG10(B19/Parámetros!$B$13))</f>
        <v>3.8021124171160601</v>
      </c>
      <c r="F19" s="10">
        <f>Resultados!$B$6+10*Resultados!$B$5*LOG10(B19/Parámetros!$B$13)</f>
        <v>66.536353435385109</v>
      </c>
      <c r="G19" s="10">
        <f t="shared" si="0"/>
        <v>2.4636465646148906</v>
      </c>
      <c r="H19" s="10">
        <f>Parámetros!$B$10+Parámetros!$B$11+Parámetros!$B$12-F19</f>
        <v>-57.536353435385109</v>
      </c>
      <c r="I19" s="10">
        <f>Parámetros!$B$10+Parámetros!$B$11+Parámetros!$B$12-20*LOG10(4*PI()*B19/Parámetros!$B$7)</f>
        <v>-39.582233283407</v>
      </c>
    </row>
    <row r="20" spans="1:9" x14ac:dyDescent="0.25">
      <c r="A20" s="3">
        <v>16</v>
      </c>
      <c r="B20" s="9">
        <v>2.5</v>
      </c>
      <c r="C20" s="9">
        <v>-58.3</v>
      </c>
      <c r="D20" s="10">
        <f>IF(C20="","",Parámetros!$B$10+Parámetros!$B$11+Parámetros!$B$12-C20)</f>
        <v>67.3</v>
      </c>
      <c r="E20" s="10">
        <f>IF(C20="","",10*LOG10(B20/Parámetros!$B$13))</f>
        <v>3.9794000867203758</v>
      </c>
      <c r="F20" s="10">
        <f>Resultados!$B$6+10*Resultados!$B$5*LOG10(B20/Parámetros!$B$13)</f>
        <v>66.943620513338217</v>
      </c>
      <c r="G20" s="10">
        <f t="shared" si="0"/>
        <v>0.35637948666177977</v>
      </c>
      <c r="H20" s="10">
        <f>Parámetros!$B$10+Parámetros!$B$11+Parámetros!$B$12-F20</f>
        <v>-57.943620513338217</v>
      </c>
      <c r="I20" s="10">
        <f>Parámetros!$B$10+Parámetros!$B$11+Parámetros!$B$12-20*LOG10(4*PI()*B20/Parámetros!$B$7)</f>
        <v>-39.936808622615629</v>
      </c>
    </row>
    <row r="21" spans="1:9" x14ac:dyDescent="0.25">
      <c r="A21" s="3">
        <v>17</v>
      </c>
      <c r="B21" s="9">
        <v>2.6</v>
      </c>
      <c r="C21" s="9">
        <v>-57.2</v>
      </c>
      <c r="D21" s="10">
        <f>IF(C21="","",Parámetros!$B$10+Parámetros!$B$11+Parámetros!$B$12-C21)</f>
        <v>66.2</v>
      </c>
      <c r="E21" s="10">
        <f>IF(C21="","",10*LOG10(B21/Parámetros!$B$13))</f>
        <v>4.1497334797081802</v>
      </c>
      <c r="F21" s="10">
        <f>Resultados!$B$6+10*Resultados!$B$5*LOG10(B21/Parámetros!$B$13)</f>
        <v>67.334912154741204</v>
      </c>
      <c r="G21" s="10">
        <f t="shared" si="0"/>
        <v>-1.1349121547412011</v>
      </c>
      <c r="H21" s="10">
        <f>Parámetros!$B$10+Parámetros!$B$11+Parámetros!$B$12-F21</f>
        <v>-58.334912154741204</v>
      </c>
      <c r="I21" s="10">
        <f>Parámetros!$B$10+Parámetros!$B$11+Parámetros!$B$12-20*LOG10(4*PI()*B21/Parámetros!$B$7)</f>
        <v>-40.277475408591236</v>
      </c>
    </row>
    <row r="22" spans="1:9" x14ac:dyDescent="0.25">
      <c r="A22" s="3">
        <v>18</v>
      </c>
      <c r="B22" s="9">
        <v>2.7</v>
      </c>
      <c r="C22" s="9">
        <v>-59.1</v>
      </c>
      <c r="D22" s="10">
        <f>IF(C22="","",Parámetros!$B$10+Parámetros!$B$11+Parámetros!$B$12-C22)</f>
        <v>68.099999999999994</v>
      </c>
      <c r="E22" s="10">
        <f>IF(C22="","",10*LOG10(B22/Parámetros!$B$13))</f>
        <v>4.3136376415898736</v>
      </c>
      <c r="F22" s="10">
        <f>Resultados!$B$6+10*Resultados!$B$5*LOG10(B22/Parámetros!$B$13)</f>
        <v>67.71143449959969</v>
      </c>
      <c r="G22" s="10">
        <f t="shared" si="0"/>
        <v>0.38856550040030413</v>
      </c>
      <c r="H22" s="10">
        <f>Parámetros!$B$10+Parámetros!$B$11+Parámetros!$B$12-F22</f>
        <v>-58.71143449959969</v>
      </c>
      <c r="I22" s="10">
        <f>Parámetros!$B$10+Parámetros!$B$11+Parámetros!$B$12-20*LOG10(4*PI()*B22/Parámetros!$B$7)</f>
        <v>-40.605283732354621</v>
      </c>
    </row>
    <row r="23" spans="1:9" x14ac:dyDescent="0.25">
      <c r="A23" s="3">
        <v>19</v>
      </c>
      <c r="B23" s="9">
        <v>2.8</v>
      </c>
      <c r="C23" s="9">
        <v>-59.1</v>
      </c>
      <c r="D23" s="10">
        <f>IF(C23="","",Parámetros!$B$10+Parámetros!$B$11+Parámetros!$B$12-C23)</f>
        <v>68.099999999999994</v>
      </c>
      <c r="E23" s="10">
        <f>IF(C23="","",10*LOG10(B23/Parámetros!$B$13))</f>
        <v>4.4715803134221925</v>
      </c>
      <c r="F23" s="10">
        <f>Resultados!$B$6+10*Resultados!$B$5*LOG10(B23/Parámetros!$B$13)</f>
        <v>68.0742620475325</v>
      </c>
      <c r="G23" s="10">
        <f t="shared" si="0"/>
        <v>2.5737952467494551E-2</v>
      </c>
      <c r="H23" s="10">
        <f>Parámetros!$B$10+Parámetros!$B$11+Parámetros!$B$12-F23</f>
        <v>-59.0742620475325</v>
      </c>
      <c r="I23" s="10">
        <f>Parámetros!$B$10+Parámetros!$B$11+Parámetros!$B$12-20*LOG10(4*PI()*B23/Parámetros!$B$7)</f>
        <v>-40.921169076019261</v>
      </c>
    </row>
    <row r="24" spans="1:9" x14ac:dyDescent="0.25">
      <c r="A24" s="3">
        <v>20</v>
      </c>
      <c r="B24" s="9">
        <v>2.9</v>
      </c>
      <c r="C24" s="9">
        <v>-55.6</v>
      </c>
      <c r="D24" s="10">
        <f>IF(C24="","",Parámetros!$B$10+Parámetros!$B$11+Parámetros!$B$12-C24)</f>
        <v>64.599999999999994</v>
      </c>
      <c r="E24" s="10">
        <f>IF(C24="","",10*LOG10(B24/Parámetros!$B$13))</f>
        <v>4.6239799789895608</v>
      </c>
      <c r="F24" s="10">
        <f>Resultados!$B$6+10*Resultados!$B$5*LOG10(B24/Parámetros!$B$13)</f>
        <v>68.424356143840384</v>
      </c>
      <c r="G24" s="10">
        <f t="shared" si="0"/>
        <v>-3.8243561438403901</v>
      </c>
      <c r="H24" s="10">
        <f>Parámetros!$B$10+Parámetros!$B$11+Parámetros!$B$12-F24</f>
        <v>-59.424356143840384</v>
      </c>
      <c r="I24" s="10">
        <f>Parámetros!$B$10+Parámetros!$B$11+Parámetros!$B$12-20*LOG10(4*PI()*B24/Parámetros!$B$7)</f>
        <v>-41.225968407153999</v>
      </c>
    </row>
    <row r="25" spans="1:9" x14ac:dyDescent="0.25">
      <c r="A25" s="3">
        <v>21</v>
      </c>
      <c r="B25" s="9">
        <v>3</v>
      </c>
      <c r="C25" s="9">
        <v>-63.5</v>
      </c>
      <c r="D25" s="10">
        <f>IF(C25="","",Parámetros!$B$10+Parámetros!$B$11+Parámetros!$B$12-C25)</f>
        <v>72.5</v>
      </c>
      <c r="E25" s="10">
        <f>IF(C25="","",10*LOG10(B25/Parámetros!$B$13))</f>
        <v>4.7712125471966242</v>
      </c>
      <c r="F25" s="10">
        <f>Resultados!$B$6+10*Resultados!$B$5*LOG10(B25/Parámetros!$B$13)</f>
        <v>68.762580330367598</v>
      </c>
      <c r="G25" s="10">
        <f t="shared" si="0"/>
        <v>3.737419669632402</v>
      </c>
      <c r="H25" s="10">
        <f>Parámetros!$B$10+Parámetros!$B$11+Parámetros!$B$12-F25</f>
        <v>-59.762580330367598</v>
      </c>
      <c r="I25" s="10">
        <f>Parámetros!$B$10+Parámetros!$B$11+Parámetros!$B$12-20*LOG10(4*PI()*B25/Parámetros!$B$7)</f>
        <v>-41.520433543568124</v>
      </c>
    </row>
    <row r="26" spans="1:9" x14ac:dyDescent="0.25">
      <c r="A26" s="3">
        <v>22</v>
      </c>
      <c r="B26" s="9">
        <v>3.1</v>
      </c>
      <c r="C26" s="9">
        <v>-61</v>
      </c>
      <c r="D26" s="10">
        <f>IF(C26="","",Parámetros!$B$10+Parámetros!$B$11+Parámetros!$B$12-C26)</f>
        <v>70</v>
      </c>
      <c r="E26" s="10">
        <f>IF(C26="","",10*LOG10(B26/Parámetros!$B$13))</f>
        <v>4.9136169383427273</v>
      </c>
      <c r="F26" s="10">
        <f>Resultados!$B$6+10*Resultados!$B$5*LOG10(B26/Parámetros!$B$13)</f>
        <v>69.089713178349683</v>
      </c>
      <c r="G26" s="10">
        <f t="shared" si="0"/>
        <v>0.91028682165031682</v>
      </c>
      <c r="H26" s="10">
        <f>Parámetros!$B$10+Parámetros!$B$11+Parámetros!$B$12-F26</f>
        <v>-60.089713178349683</v>
      </c>
      <c r="I26" s="10">
        <f>Parámetros!$B$10+Parámetros!$B$11+Parámetros!$B$12-20*LOG10(4*PI()*B26/Parámetros!$B$7)</f>
        <v>-41.805242325860334</v>
      </c>
    </row>
    <row r="27" spans="1:9" x14ac:dyDescent="0.25">
      <c r="A27" s="3">
        <v>23</v>
      </c>
      <c r="B27" s="9">
        <v>3.2</v>
      </c>
      <c r="C27" s="9">
        <v>-58.8</v>
      </c>
      <c r="D27" s="10">
        <f>IF(C27="","",Parámetros!$B$10+Parámetros!$B$11+Parámetros!$B$12-C27)</f>
        <v>67.8</v>
      </c>
      <c r="E27" s="10">
        <f>IF(C27="","",10*LOG10(B27/Parámetros!$B$13))</f>
        <v>5.0514997831990609</v>
      </c>
      <c r="F27" s="10">
        <f>Resultados!$B$6+10*Resultados!$B$5*LOG10(B27/Parámetros!$B$13)</f>
        <v>69.406459083182398</v>
      </c>
      <c r="G27" s="10">
        <f t="shared" si="0"/>
        <v>-1.6064590831824006</v>
      </c>
      <c r="H27" s="10">
        <f>Parámetros!$B$10+Parámetros!$B$11+Parámetros!$B$12-F27</f>
        <v>-60.406459083182398</v>
      </c>
      <c r="I27" s="10">
        <f>Parámetros!$B$10+Parámetros!$B$11+Parámetros!$B$12-20*LOG10(4*PI()*B27/Parámetros!$B$7)</f>
        <v>-42.081008015572998</v>
      </c>
    </row>
    <row r="28" spans="1:9" x14ac:dyDescent="0.25">
      <c r="A28" s="3">
        <v>24</v>
      </c>
      <c r="B28" s="9">
        <v>3.3</v>
      </c>
      <c r="C28" s="9">
        <v>-60.2</v>
      </c>
      <c r="D28" s="10">
        <f>IF(C28="","",Parámetros!$B$10+Parámetros!$B$11+Parámetros!$B$12-C28)</f>
        <v>69.2</v>
      </c>
      <c r="E28" s="10">
        <f>IF(C28="","",10*LOG10(B28/Parámetros!$B$13))</f>
        <v>5.1851393987788743</v>
      </c>
      <c r="F28" s="10">
        <f>Resultados!$B$6+10*Resultados!$B$5*LOG10(B28/Parámetros!$B$13)</f>
        <v>69.713457397602355</v>
      </c>
      <c r="G28" s="10">
        <f t="shared" si="0"/>
        <v>-0.51345739760235176</v>
      </c>
      <c r="H28" s="10">
        <f>Parámetros!$B$10+Parámetros!$B$11+Parámetros!$B$12-F28</f>
        <v>-60.713457397602355</v>
      </c>
      <c r="I28" s="10">
        <f>Parámetros!$B$10+Parámetros!$B$11+Parámetros!$B$12-20*LOG10(4*PI()*B28/Parámetros!$B$7)</f>
        <v>-42.348287246732625</v>
      </c>
    </row>
    <row r="29" spans="1:9" x14ac:dyDescent="0.25">
      <c r="A29" s="3">
        <v>25</v>
      </c>
      <c r="B29" s="9">
        <v>3.4</v>
      </c>
      <c r="C29" s="9">
        <v>-61.5</v>
      </c>
      <c r="D29" s="10">
        <f>IF(C29="","",Parámetros!$B$10+Parámetros!$B$11+Parámetros!$B$12-C29)</f>
        <v>70.5</v>
      </c>
      <c r="E29" s="10">
        <f>IF(C29="","",10*LOG10(B29/Parámetros!$B$13))</f>
        <v>5.3147891704225518</v>
      </c>
      <c r="F29" s="10">
        <f>Resultados!$B$6+10*Resultados!$B$5*LOG10(B29/Parámetros!$B$13)</f>
        <v>70.01129020104807</v>
      </c>
      <c r="G29" s="10">
        <f t="shared" si="0"/>
        <v>0.48870979895193045</v>
      </c>
      <c r="H29" s="10">
        <f>Parámetros!$B$10+Parámetros!$B$11+Parámetros!$B$12-F29</f>
        <v>-61.01129020104807</v>
      </c>
      <c r="I29" s="10">
        <f>Parámetros!$B$10+Parámetros!$B$11+Parámetros!$B$12-20*LOG10(4*PI()*B29/Parámetros!$B$7)</f>
        <v>-42.60758679001998</v>
      </c>
    </row>
    <row r="30" spans="1:9" x14ac:dyDescent="0.25">
      <c r="A30" s="3">
        <v>26</v>
      </c>
      <c r="B30" s="9">
        <v>3.5</v>
      </c>
      <c r="C30" s="9">
        <v>-62.1</v>
      </c>
      <c r="D30" s="10">
        <f>IF(C30="","",Parámetros!$B$10+Parámetros!$B$11+Parámetros!$B$12-C30)</f>
        <v>71.099999999999994</v>
      </c>
      <c r="E30" s="10">
        <f>IF(C30="","",10*LOG10(B30/Parámetros!$B$13))</f>
        <v>5.4406804435027567</v>
      </c>
      <c r="F30" s="10">
        <f>Resultados!$B$6+10*Resultados!$B$5*LOG10(B30/Parámetros!$B$13)</f>
        <v>70.300488942514988</v>
      </c>
      <c r="G30" s="10">
        <f t="shared" si="0"/>
        <v>0.79951105748500595</v>
      </c>
      <c r="H30" s="10">
        <f>Parámetros!$B$10+Parámetros!$B$11+Parámetros!$B$12-F30</f>
        <v>-61.300488942514988</v>
      </c>
      <c r="I30" s="10">
        <f>Parámetros!$B$10+Parámetros!$B$11+Parámetros!$B$12-20*LOG10(4*PI()*B30/Parámetros!$B$7)</f>
        <v>-42.859369336180386</v>
      </c>
    </row>
    <row r="31" spans="1:9" x14ac:dyDescent="0.25">
      <c r="A31" s="3">
        <v>27</v>
      </c>
      <c r="B31" s="9">
        <v>3.6</v>
      </c>
      <c r="C31" s="9">
        <v>-62.4</v>
      </c>
      <c r="D31" s="10">
        <f>IF(C31="","",Parámetros!$B$10+Parámetros!$B$11+Parámetros!$B$12-C31)</f>
        <v>71.400000000000006</v>
      </c>
      <c r="E31" s="10">
        <f>IF(C31="","",10*LOG10(B31/Parámetros!$B$13))</f>
        <v>5.5630250076728727</v>
      </c>
      <c r="F31" s="10">
        <f>Resultados!$B$6+10*Resultados!$B$5*LOG10(B31/Parámetros!$B$13)</f>
        <v>70.581540147396964</v>
      </c>
      <c r="G31" s="10">
        <f t="shared" si="0"/>
        <v>0.81845985260304133</v>
      </c>
      <c r="H31" s="10">
        <f>Parámetros!$B$10+Parámetros!$B$11+Parámetros!$B$12-F31</f>
        <v>-61.581540147396964</v>
      </c>
      <c r="I31" s="10">
        <f>Parámetros!$B$10+Parámetros!$B$11+Parámetros!$B$12-20*LOG10(4*PI()*B31/Parámetros!$B$7)</f>
        <v>-43.10405846452062</v>
      </c>
    </row>
    <row r="32" spans="1:9" x14ac:dyDescent="0.25">
      <c r="A32" s="3">
        <v>28</v>
      </c>
      <c r="B32" s="9">
        <v>3.7</v>
      </c>
      <c r="C32" s="9">
        <v>-60.3</v>
      </c>
      <c r="D32" s="10">
        <f>IF(C32="","",Parámetros!$B$10+Parámetros!$B$11+Parámetros!$B$12-C32)</f>
        <v>69.3</v>
      </c>
      <c r="E32" s="10">
        <f>IF(C32="","",10*LOG10(B32/Parámetros!$B$13))</f>
        <v>5.6820172406699498</v>
      </c>
      <c r="F32" s="10">
        <f>Resultados!$B$6+10*Resultados!$B$5*LOG10(B32/Parámetros!$B$13)</f>
        <v>70.854890342252574</v>
      </c>
      <c r="G32" s="10">
        <f t="shared" si="0"/>
        <v>-1.5548903422525768</v>
      </c>
      <c r="H32" s="10">
        <f>Parámetros!$B$10+Parámetros!$B$11+Parámetros!$B$12-F32</f>
        <v>-61.854890342252574</v>
      </c>
      <c r="I32" s="10">
        <f>Parámetros!$B$10+Parámetros!$B$11+Parámetros!$B$12-20*LOG10(4*PI()*B32/Parámetros!$B$7)</f>
        <v>-43.342042930514772</v>
      </c>
    </row>
    <row r="33" spans="1:9" x14ac:dyDescent="0.25">
      <c r="A33" s="3">
        <v>29</v>
      </c>
      <c r="B33" s="9">
        <v>3.8</v>
      </c>
      <c r="C33" s="9">
        <v>-61.8</v>
      </c>
      <c r="D33" s="10">
        <f>IF(C33="","",Parámetros!$B$10+Parámetros!$B$11+Parámetros!$B$12-C33)</f>
        <v>70.8</v>
      </c>
      <c r="E33" s="10">
        <f>IF(C33="","",10*LOG10(B33/Parámetros!$B$13))</f>
        <v>5.7978359661681012</v>
      </c>
      <c r="F33" s="10">
        <f>Resultados!$B$6+10*Resultados!$B$5*LOG10(B33/Parámetros!$B$13)</f>
        <v>71.120950322685303</v>
      </c>
      <c r="G33" s="10">
        <f t="shared" si="0"/>
        <v>-0.32095032268530588</v>
      </c>
      <c r="H33" s="10">
        <f>Parámetros!$B$10+Parámetros!$B$11+Parámetros!$B$12-F33</f>
        <v>-62.120950322685303</v>
      </c>
      <c r="I33" s="10">
        <f>Parámetros!$B$10+Parámetros!$B$11+Parámetros!$B$12-20*LOG10(4*PI()*B33/Parámetros!$B$7)</f>
        <v>-43.573680381511075</v>
      </c>
    </row>
    <row r="34" spans="1:9" x14ac:dyDescent="0.25">
      <c r="A34" s="3">
        <v>30</v>
      </c>
      <c r="B34" s="9">
        <v>3.9</v>
      </c>
      <c r="C34" s="9">
        <v>-64.400000000000006</v>
      </c>
      <c r="D34" s="10">
        <f>IF(C34="","",Parámetros!$B$10+Parámetros!$B$11+Parámetros!$B$12-C34)</f>
        <v>73.400000000000006</v>
      </c>
      <c r="E34" s="10">
        <f>IF(C34="","",10*LOG10(B34/Parámetros!$B$13))</f>
        <v>5.9106460702649919</v>
      </c>
      <c r="F34" s="10">
        <f>Resultados!$B$6+10*Resultados!$B$5*LOG10(B34/Parámetros!$B$13)</f>
        <v>71.380098866753073</v>
      </c>
      <c r="G34" s="10">
        <f t="shared" si="0"/>
        <v>2.0199011332469325</v>
      </c>
      <c r="H34" s="10">
        <f>Parámetros!$B$10+Parámetros!$B$11+Parámetros!$B$12-F34</f>
        <v>-62.380098866753073</v>
      </c>
      <c r="I34" s="10">
        <f>Parámetros!$B$10+Parámetros!$B$11+Parámetros!$B$12-20*LOG10(4*PI()*B34/Parámetros!$B$7)</f>
        <v>-43.799300589704863</v>
      </c>
    </row>
    <row r="35" spans="1:9" x14ac:dyDescent="0.25">
      <c r="A35" s="3">
        <v>31</v>
      </c>
      <c r="B35" s="9">
        <v>4</v>
      </c>
      <c r="C35" s="9">
        <v>-63.3</v>
      </c>
      <c r="D35" s="10">
        <f>IF(C35="","",Parámetros!$B$10+Parámetros!$B$11+Parámetros!$B$12-C35)</f>
        <v>72.3</v>
      </c>
      <c r="E35" s="10">
        <f>IF(C35="","",10*LOG10(B35/Parámetros!$B$13))</f>
        <v>6.0205999132796242</v>
      </c>
      <c r="F35" s="10">
        <f>Resultados!$B$6+10*Resultados!$B$5*LOG10(B35/Parámetros!$B$13)</f>
        <v>71.632685978164886</v>
      </c>
      <c r="G35" s="10">
        <f t="shared" si="0"/>
        <v>0.66731402183511079</v>
      </c>
      <c r="H35" s="10">
        <f>Parámetros!$B$10+Parámetros!$B$11+Parámetros!$B$12-F35</f>
        <v>-62.632685978164886</v>
      </c>
      <c r="I35" s="10">
        <f>Parámetros!$B$10+Parámetros!$B$11+Parámetros!$B$12-20*LOG10(4*PI()*B35/Parámetros!$B$7)</f>
        <v>-44.019208275734123</v>
      </c>
    </row>
    <row r="36" spans="1:9" x14ac:dyDescent="0.25">
      <c r="A36" s="3">
        <v>32</v>
      </c>
      <c r="B36" s="9">
        <v>5</v>
      </c>
      <c r="C36" s="9">
        <v>-68.7</v>
      </c>
      <c r="D36" s="10">
        <f>IF(C36="","",Parámetros!$B$10+Parámetros!$B$11+Parámetros!$B$12-C36)</f>
        <v>77.7</v>
      </c>
      <c r="E36" s="10">
        <f>IF(C36="","",10*LOG10(B36/Parámetros!$B$13))</f>
        <v>6.9897000433601884</v>
      </c>
      <c r="F36" s="10">
        <f>Resultados!$B$6+10*Resultados!$B$5*LOG10(B36/Parámetros!$B$13)</f>
        <v>73.858912873147375</v>
      </c>
      <c r="G36" s="10">
        <f t="shared" si="0"/>
        <v>3.8410871268526279</v>
      </c>
      <c r="H36" s="10">
        <f>Parámetros!$B$10+Parámetros!$B$11+Parámetros!$B$12-F36</f>
        <v>-64.858912873147375</v>
      </c>
      <c r="I36" s="10">
        <f>Parámetros!$B$10+Parámetros!$B$11+Parámetros!$B$12-20*LOG10(4*PI()*B36/Parámetros!$B$7)</f>
        <v>-45.957408535895247</v>
      </c>
    </row>
    <row r="37" spans="1:9" x14ac:dyDescent="0.25">
      <c r="A37" s="3">
        <v>33</v>
      </c>
      <c r="B37" s="9">
        <v>6</v>
      </c>
      <c r="C37" s="9">
        <v>-70.900000000000006</v>
      </c>
      <c r="D37" s="10">
        <f>IF(C37="","",Parámetros!$B$10+Parámetros!$B$11+Parámetros!$B$12-C37)</f>
        <v>79.900000000000006</v>
      </c>
      <c r="E37" s="10">
        <f>IF(C37="","",10*LOG10(B37/Parámetros!$B$13))</f>
        <v>7.7815125038364368</v>
      </c>
      <c r="F37" s="10">
        <f>Resultados!$B$6+10*Resultados!$B$5*LOG10(B37/Parámetros!$B$13)</f>
        <v>75.677872690176756</v>
      </c>
      <c r="G37" s="10">
        <f t="shared" si="0"/>
        <v>4.2221273098232501</v>
      </c>
      <c r="H37" s="10">
        <f>Parámetros!$B$10+Parámetros!$B$11+Parámetros!$B$12-F37</f>
        <v>-66.677872690176756</v>
      </c>
      <c r="I37" s="10">
        <f>Parámetros!$B$10+Parámetros!$B$11+Parámetros!$B$12-20*LOG10(4*PI()*B37/Parámetros!$B$7)</f>
        <v>-47.54103345684775</v>
      </c>
    </row>
    <row r="38" spans="1:9" x14ac:dyDescent="0.25">
      <c r="A38" s="3">
        <v>34</v>
      </c>
      <c r="B38" s="9">
        <v>7</v>
      </c>
      <c r="C38" s="9">
        <v>-68.400000000000006</v>
      </c>
      <c r="D38" s="10">
        <f>IF(C38="","",Parámetros!$B$10+Parámetros!$B$11+Parámetros!$B$12-C38)</f>
        <v>77.400000000000006</v>
      </c>
      <c r="E38" s="10">
        <f>IF(C38="","",10*LOG10(B38/Parámetros!$B$13))</f>
        <v>8.4509804001425675</v>
      </c>
      <c r="F38" s="10">
        <f>Resultados!$B$6+10*Resultados!$B$5*LOG10(B38/Parámetros!$B$13)</f>
        <v>77.215781302324146</v>
      </c>
      <c r="G38" s="10">
        <f t="shared" si="0"/>
        <v>0.18421869767585974</v>
      </c>
      <c r="H38" s="10">
        <f>Parámetros!$B$10+Parámetros!$B$11+Parámetros!$B$12-F38</f>
        <v>-68.215781302324146</v>
      </c>
      <c r="I38" s="10">
        <f>Parámetros!$B$10+Parámetros!$B$11+Parámetros!$B$12-20*LOG10(4*PI()*B38/Parámetros!$B$7)</f>
        <v>-48.879969249460011</v>
      </c>
    </row>
    <row r="39" spans="1:9" x14ac:dyDescent="0.25">
      <c r="A39" s="3">
        <v>35</v>
      </c>
      <c r="B39" s="9">
        <v>8</v>
      </c>
      <c r="C39" s="9">
        <v>-66.2</v>
      </c>
      <c r="D39" s="10">
        <f>IF(C39="","",Parámetros!$B$10+Parámetros!$B$11+Parámetros!$B$12-C39)</f>
        <v>75.2</v>
      </c>
      <c r="E39" s="10">
        <f>IF(C39="","",10*LOG10(B39/Parámetros!$B$13))</f>
        <v>9.0308998699194358</v>
      </c>
      <c r="F39" s="10">
        <f>Resultados!$B$6+10*Resultados!$B$5*LOG10(B39/Parámetros!$B$13)</f>
        <v>78.54797833797403</v>
      </c>
      <c r="G39" s="10">
        <f t="shared" si="0"/>
        <v>-3.3479783379740269</v>
      </c>
      <c r="H39" s="10">
        <f>Parámetros!$B$10+Parámetros!$B$11+Parámetros!$B$12-F39</f>
        <v>-69.54797833797403</v>
      </c>
      <c r="I39" s="10">
        <f>Parámetros!$B$10+Parámetros!$B$11+Parámetros!$B$12-20*LOG10(4*PI()*B39/Parámetros!$B$7)</f>
        <v>-50.039808189013748</v>
      </c>
    </row>
    <row r="40" spans="1:9" x14ac:dyDescent="0.25">
      <c r="A40" s="3">
        <v>36</v>
      </c>
      <c r="B40" s="9">
        <v>9</v>
      </c>
      <c r="C40" s="9">
        <v>-71.5</v>
      </c>
      <c r="D40" s="10">
        <f>IF(C40="","",Parámetros!$B$10+Parámetros!$B$11+Parámetros!$B$12-C40)</f>
        <v>80.5</v>
      </c>
      <c r="E40" s="10">
        <f>IF(C40="","",10*LOG10(B40/Parámetros!$B$13))</f>
        <v>9.5424250943932485</v>
      </c>
      <c r="F40" s="10">
        <f>Resultados!$B$6+10*Resultados!$B$5*LOG10(B40/Parámetros!$B$13)</f>
        <v>79.723059402188625</v>
      </c>
      <c r="G40" s="10">
        <f t="shared" si="0"/>
        <v>0.77694059781137526</v>
      </c>
      <c r="H40" s="10">
        <f>Parámetros!$B$10+Parámetros!$B$11+Parámetros!$B$12-F40</f>
        <v>-70.723059402188625</v>
      </c>
      <c r="I40" s="10">
        <f>Parámetros!$B$10+Parámetros!$B$11+Parámetros!$B$12-20*LOG10(4*PI()*B40/Parámetros!$B$7)</f>
        <v>-51.062858637961376</v>
      </c>
    </row>
    <row r="41" spans="1:9" x14ac:dyDescent="0.25">
      <c r="A41" s="3">
        <v>37</v>
      </c>
      <c r="B41" s="9">
        <v>10</v>
      </c>
      <c r="C41" s="9">
        <v>-71.099999999999994</v>
      </c>
      <c r="D41" s="10">
        <f>IF(C41="","",Parámetros!$B$10+Parámetros!$B$11+Parámetros!$B$12-C41)</f>
        <v>80.099999999999994</v>
      </c>
      <c r="E41" s="10">
        <f>IF(C41="","",10*LOG10(B41/Parámetros!$B$13))</f>
        <v>10</v>
      </c>
      <c r="F41" s="10">
        <f>Resultados!$B$6+10*Resultados!$B$5*LOG10(B41/Parámetros!$B$13)</f>
        <v>80.774205232956533</v>
      </c>
      <c r="G41" s="10">
        <f t="shared" si="0"/>
        <v>-0.67420523295653823</v>
      </c>
      <c r="H41" s="10">
        <f>Parámetros!$B$10+Parámetros!$B$11+Parámetros!$B$12-F41</f>
        <v>-71.774205232956533</v>
      </c>
      <c r="I41" s="10">
        <f>Parámetros!$B$10+Parámetros!$B$11+Parámetros!$B$12-20*LOG10(4*PI()*B41/Parámetros!$B$7)</f>
        <v>-51.978008449174872</v>
      </c>
    </row>
    <row r="42" spans="1:9" x14ac:dyDescent="0.25">
      <c r="A42" s="3">
        <v>38</v>
      </c>
      <c r="B42" s="9">
        <v>11</v>
      </c>
      <c r="C42" s="9">
        <v>-71.900000000000006</v>
      </c>
      <c r="D42" s="10">
        <f>IF(C42="","",Parámetros!$B$10+Parámetros!$B$11+Parámetros!$B$12-C42)</f>
        <v>80.900000000000006</v>
      </c>
      <c r="E42" s="10">
        <f>IF(C42="","",10*LOG10(B42/Parámetros!$B$13))</f>
        <v>10.413926851582252</v>
      </c>
      <c r="F42" s="10">
        <f>Resultados!$B$6+10*Resultados!$B$5*LOG10(B42/Parámetros!$B$13)</f>
        <v>81.725082300191303</v>
      </c>
      <c r="G42" s="10">
        <f t="shared" si="0"/>
        <v>-0.82508230019129769</v>
      </c>
      <c r="H42" s="10">
        <f>Parámetros!$B$10+Parámetros!$B$11+Parámetros!$B$12-F42</f>
        <v>-72.725082300191303</v>
      </c>
      <c r="I42" s="10">
        <f>Parámetros!$B$10+Parámetros!$B$11+Parámetros!$B$12-20*LOG10(4*PI()*B42/Parámetros!$B$7)</f>
        <v>-52.805862152339373</v>
      </c>
    </row>
    <row r="43" spans="1:9" x14ac:dyDescent="0.25">
      <c r="A43" s="3">
        <v>39</v>
      </c>
      <c r="B43" s="9">
        <v>12</v>
      </c>
      <c r="C43" s="9">
        <v>-73.099999999999994</v>
      </c>
      <c r="D43" s="10">
        <f>IF(C43="","",Parámetros!$B$10+Parámetros!$B$11+Parámetros!$B$12-C43)</f>
        <v>82.1</v>
      </c>
      <c r="E43" s="10">
        <f>IF(C43="","",10*LOG10(B43/Parámetros!$B$13))</f>
        <v>10.791812460476249</v>
      </c>
      <c r="F43" s="10">
        <f>Resultados!$B$6+10*Resultados!$B$5*LOG10(B43/Parámetros!$B$13)</f>
        <v>82.593165049985913</v>
      </c>
      <c r="G43" s="10">
        <f t="shared" si="0"/>
        <v>-0.49316504998591881</v>
      </c>
      <c r="H43" s="10">
        <f>Parámetros!$B$10+Parámetros!$B$11+Parámetros!$B$12-F43</f>
        <v>-73.593165049985913</v>
      </c>
      <c r="I43" s="10">
        <f>Parámetros!$B$10+Parámetros!$B$11+Parámetros!$B$12-20*LOG10(4*PI()*B43/Parámetros!$B$7)</f>
        <v>-53.561633370127375</v>
      </c>
    </row>
    <row r="44" spans="1:9" x14ac:dyDescent="0.25">
      <c r="A44" s="3">
        <v>40</v>
      </c>
      <c r="B44" s="9">
        <v>13</v>
      </c>
      <c r="C44" s="9">
        <v>-72.5</v>
      </c>
      <c r="D44" s="10">
        <f>IF(C44="","",Parámetros!$B$10+Parámetros!$B$11+Parámetros!$B$12-C44)</f>
        <v>81.5</v>
      </c>
      <c r="E44" s="10">
        <f>IF(C44="","",10*LOG10(B44/Parámetros!$B$13))</f>
        <v>11.139433523068368</v>
      </c>
      <c r="F44" s="10">
        <f>Resultados!$B$6+10*Resultados!$B$5*LOG10(B44/Parámetros!$B$13)</f>
        <v>83.391723769342008</v>
      </c>
      <c r="G44" s="10">
        <f t="shared" si="0"/>
        <v>-1.8917237693420077</v>
      </c>
      <c r="H44" s="10">
        <f>Parámetros!$B$10+Parámetros!$B$11+Parámetros!$B$12-F44</f>
        <v>-74.391723769342008</v>
      </c>
      <c r="I44" s="10">
        <f>Parámetros!$B$10+Parámetros!$B$11+Parámetros!$B$12-20*LOG10(4*PI()*B44/Parámetros!$B$7)</f>
        <v>-54.256875495311611</v>
      </c>
    </row>
    <row r="45" spans="1:9" x14ac:dyDescent="0.25">
      <c r="A45" s="3">
        <v>41</v>
      </c>
      <c r="B45" s="9">
        <v>14</v>
      </c>
      <c r="C45" s="9">
        <v>-75.3</v>
      </c>
      <c r="D45" s="10">
        <f>IF(C45="","",Parámetros!$B$10+Parámetros!$B$11+Parámetros!$B$12-C45)</f>
        <v>84.3</v>
      </c>
      <c r="E45" s="10">
        <f>IF(C45="","",10*LOG10(B45/Parámetros!$B$13))</f>
        <v>11.46128035678238</v>
      </c>
      <c r="F45" s="10">
        <f>Resultados!$B$6+10*Resultados!$B$5*LOG10(B45/Parámetros!$B$13)</f>
        <v>84.131073662133304</v>
      </c>
      <c r="G45" s="10">
        <f t="shared" si="0"/>
        <v>0.16892633786669364</v>
      </c>
      <c r="H45" s="10">
        <f>Parámetros!$B$10+Parámetros!$B$11+Parámetros!$B$12-F45</f>
        <v>-75.131073662133304</v>
      </c>
      <c r="I45" s="10">
        <f>Parámetros!$B$10+Parámetros!$B$11+Parámetros!$B$12-20*LOG10(4*PI()*B45/Parámetros!$B$7)</f>
        <v>-54.900569162739636</v>
      </c>
    </row>
    <row r="46" spans="1:9" x14ac:dyDescent="0.25">
      <c r="A46" s="3">
        <v>42</v>
      </c>
      <c r="B46" s="9">
        <v>15</v>
      </c>
      <c r="C46" s="9">
        <v>-75.3</v>
      </c>
      <c r="D46" s="10">
        <f>IF(C46="","",Parámetros!$B$10+Parámetros!$B$11+Parámetros!$B$12-C46)</f>
        <v>84.3</v>
      </c>
      <c r="E46" s="10">
        <f>IF(C46="","",10*LOG10(B46/Parámetros!$B$13))</f>
        <v>11.760912590556813</v>
      </c>
      <c r="F46" s="10">
        <f>Resultados!$B$6+10*Resultados!$B$5*LOG10(B46/Parámetros!$B$13)</f>
        <v>84.819391944968402</v>
      </c>
      <c r="G46" s="10">
        <f t="shared" si="0"/>
        <v>-0.51939194496840457</v>
      </c>
      <c r="H46" s="10">
        <f>Parámetros!$B$10+Parámetros!$B$11+Parámetros!$B$12-F46</f>
        <v>-75.819391944968402</v>
      </c>
      <c r="I46" s="10">
        <f>Parámetros!$B$10+Parámetros!$B$11+Parámetros!$B$12-20*LOG10(4*PI()*B46/Parámetros!$B$7)</f>
        <v>-55.499833630288506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2"/>
  <sheetViews>
    <sheetView tabSelected="1" zoomScale="115" zoomScaleNormal="115" workbookViewId="0">
      <selection activeCell="C10" sqref="C10"/>
    </sheetView>
  </sheetViews>
  <sheetFormatPr baseColWidth="10" defaultColWidth="8.7109375" defaultRowHeight="15" x14ac:dyDescent="0.25"/>
  <cols>
    <col min="1" max="1" width="44" customWidth="1"/>
    <col min="2" max="2" width="14" customWidth="1"/>
    <col min="3" max="3" width="62" customWidth="1"/>
  </cols>
  <sheetData>
    <row r="1" spans="1:3" ht="18" x14ac:dyDescent="0.25">
      <c r="A1" s="1" t="s">
        <v>31</v>
      </c>
    </row>
    <row r="2" spans="1:3" x14ac:dyDescent="0.25">
      <c r="A2" s="7" t="s">
        <v>32</v>
      </c>
    </row>
    <row r="4" spans="1:3" x14ac:dyDescent="0.25">
      <c r="A4" s="2" t="s">
        <v>1</v>
      </c>
      <c r="B4" s="2" t="s">
        <v>2</v>
      </c>
      <c r="C4" s="2" t="s">
        <v>33</v>
      </c>
    </row>
    <row r="5" spans="1:3" x14ac:dyDescent="0.25">
      <c r="A5" s="3" t="s">
        <v>34</v>
      </c>
      <c r="B5" s="4">
        <f>SLOPE(Datos!$D$5:$D$46,Datos!$E$5:$E$46)</f>
        <v>2.2972103974409963</v>
      </c>
      <c r="C5" s="3" t="s">
        <v>35</v>
      </c>
    </row>
    <row r="6" spans="1:3" x14ac:dyDescent="0.25">
      <c r="A6" s="3" t="s">
        <v>36</v>
      </c>
      <c r="B6" s="11">
        <f>INTERCEPT(Datos!$D$5:$D$46,Datos!$E$5:$E$46)</f>
        <v>57.802101258546571</v>
      </c>
      <c r="C6" s="3" t="s">
        <v>37</v>
      </c>
    </row>
    <row r="7" spans="1:3" x14ac:dyDescent="0.25">
      <c r="A7" s="3" t="s">
        <v>38</v>
      </c>
      <c r="B7" s="11">
        <f>STEYX(Datos!$D$5:$D$46,Datos!$E$5:$E$46)</f>
        <v>1.9213304980266317</v>
      </c>
      <c r="C7" s="3" t="s">
        <v>39</v>
      </c>
    </row>
    <row r="8" spans="1:3" x14ac:dyDescent="0.25">
      <c r="A8" s="3" t="s">
        <v>40</v>
      </c>
      <c r="B8" s="4">
        <f>RSQ(Datos!$D$5:$D$46,Datos!$E$5:$E$46)</f>
        <v>0.93733319480258492</v>
      </c>
      <c r="C8" s="3" t="s">
        <v>41</v>
      </c>
    </row>
    <row r="9" spans="1:3" x14ac:dyDescent="0.25">
      <c r="A9" s="3" t="s">
        <v>42</v>
      </c>
      <c r="B9" s="12">
        <f>COUNT(Datos!$C$5:$C$46)</f>
        <v>42</v>
      </c>
      <c r="C9" s="3" t="s">
        <v>43</v>
      </c>
    </row>
    <row r="10" spans="1:3" x14ac:dyDescent="0.25">
      <c r="A10" s="3" t="s">
        <v>44</v>
      </c>
      <c r="B10" s="11">
        <f>Parámetros!$B$10+Parámetros!$B$11+Parámetros!$B$12-B6</f>
        <v>-48.802101258546571</v>
      </c>
      <c r="C10" s="3" t="s">
        <v>14</v>
      </c>
    </row>
    <row r="11" spans="1:3" x14ac:dyDescent="0.25">
      <c r="A11" s="3" t="s">
        <v>45</v>
      </c>
      <c r="B11" s="11">
        <f>20*LOG10(4*PI()*Parámetros!$B$13/Parámetros!$B$7)</f>
        <v>40.978008449174872</v>
      </c>
      <c r="C11" s="3" t="s">
        <v>46</v>
      </c>
    </row>
    <row r="12" spans="1:3" x14ac:dyDescent="0.25">
      <c r="A12" s="3" t="s">
        <v>47</v>
      </c>
      <c r="B12" s="11">
        <f>B6-B11</f>
        <v>16.824092809371699</v>
      </c>
      <c r="C12" s="3" t="s">
        <v>48</v>
      </c>
    </row>
    <row r="13" spans="1:3" x14ac:dyDescent="0.25">
      <c r="A13" s="3" t="s">
        <v>49</v>
      </c>
      <c r="B13" s="11">
        <f>Parámetros!B15</f>
        <v>0.25649744664357099</v>
      </c>
      <c r="C13" s="3" t="s">
        <v>50</v>
      </c>
    </row>
    <row r="15" spans="1:3" x14ac:dyDescent="0.25">
      <c r="A15" s="5" t="s">
        <v>51</v>
      </c>
    </row>
    <row r="16" spans="1:3" x14ac:dyDescent="0.25">
      <c r="A16" s="2" t="s">
        <v>52</v>
      </c>
      <c r="B16" s="2" t="s">
        <v>53</v>
      </c>
    </row>
    <row r="17" spans="1:2" x14ac:dyDescent="0.25">
      <c r="A17" s="3" t="s">
        <v>54</v>
      </c>
      <c r="B17" s="3" t="s">
        <v>55</v>
      </c>
    </row>
    <row r="18" spans="1:2" x14ac:dyDescent="0.25">
      <c r="A18" s="3" t="s">
        <v>56</v>
      </c>
      <c r="B18" s="3" t="s">
        <v>57</v>
      </c>
    </row>
    <row r="19" spans="1:2" x14ac:dyDescent="0.25">
      <c r="A19" s="3" t="s">
        <v>58</v>
      </c>
      <c r="B19" s="3" t="s">
        <v>59</v>
      </c>
    </row>
    <row r="20" spans="1:2" x14ac:dyDescent="0.25">
      <c r="A20" s="3" t="s">
        <v>60</v>
      </c>
      <c r="B20" s="3" t="s">
        <v>61</v>
      </c>
    </row>
    <row r="21" spans="1:2" x14ac:dyDescent="0.25">
      <c r="A21" s="3" t="s">
        <v>62</v>
      </c>
      <c r="B21" s="3" t="s">
        <v>63</v>
      </c>
    </row>
    <row r="22" spans="1:2" x14ac:dyDescent="0.25">
      <c r="A22" s="3" t="s">
        <v>64</v>
      </c>
      <c r="B22" s="3" t="s">
        <v>65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Parámetros</vt:lpstr>
      <vt:lpstr>Datos</vt:lpstr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francisco polanco</cp:lastModifiedBy>
  <cp:revision>1</cp:revision>
  <dcterms:created xsi:type="dcterms:W3CDTF">2026-10-11T18:29:03Z</dcterms:created>
  <dcterms:modified xsi:type="dcterms:W3CDTF">2026-10-14T00:03:09Z</dcterms:modified>
  <dc:language>en-US</dc:language>
</cp:coreProperties>
</file>